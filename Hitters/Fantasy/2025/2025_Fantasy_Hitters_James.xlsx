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lmon\Desktop\Baseball\Projection_model\Hitters\Fantasy\"/>
    </mc:Choice>
  </mc:AlternateContent>
  <xr:revisionPtr revIDLastSave="0" documentId="13_ncr:1_{E9E5625F-FF9E-4CF6-9434-1E6B15A8A251}" xr6:coauthVersionLast="47" xr6:coauthVersionMax="47" xr10:uidLastSave="{00000000-0000-0000-0000-000000000000}"/>
  <bookViews>
    <workbookView xWindow="2503" yWindow="0" windowWidth="30617" windowHeight="17880" xr2:uid="{4451A25B-2BF5-41E4-A49F-96E9386B6A12}"/>
  </bookViews>
  <sheets>
    <sheet name="2025_Fantasy_Hitters_modifi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8" i="1" l="1"/>
  <c r="K79" i="1"/>
  <c r="L9" i="1" l="1"/>
  <c r="L76" i="1"/>
  <c r="L187" i="1"/>
  <c r="L141" i="1"/>
  <c r="L221" i="1"/>
  <c r="L60" i="1"/>
  <c r="L26" i="1"/>
  <c r="L115" i="1"/>
  <c r="L217" i="1"/>
  <c r="L27" i="1"/>
  <c r="L186" i="1"/>
  <c r="L93" i="1"/>
  <c r="L54" i="1"/>
  <c r="L138" i="1"/>
  <c r="L146" i="1"/>
  <c r="L101" i="1"/>
  <c r="L22" i="1"/>
  <c r="L229" i="1"/>
  <c r="L88" i="1"/>
  <c r="L35" i="1"/>
  <c r="L18" i="1"/>
  <c r="L48" i="1"/>
  <c r="L47" i="1"/>
  <c r="L30" i="1"/>
  <c r="L190" i="1"/>
  <c r="L69" i="1"/>
  <c r="L121" i="1"/>
  <c r="L227" i="1"/>
  <c r="L95" i="1"/>
  <c r="L7" i="1"/>
  <c r="L206" i="1"/>
  <c r="L179" i="1"/>
  <c r="L67" i="1"/>
  <c r="L152" i="1"/>
  <c r="L196" i="1"/>
  <c r="L136" i="1"/>
  <c r="L183" i="1"/>
  <c r="L205" i="1"/>
  <c r="L23" i="1"/>
  <c r="L184" i="1"/>
  <c r="L185" i="1"/>
  <c r="L20" i="1"/>
  <c r="L210" i="1"/>
  <c r="L167" i="1"/>
  <c r="L70" i="1"/>
  <c r="L161" i="1"/>
  <c r="L59" i="1"/>
  <c r="L41" i="1"/>
  <c r="L11" i="1"/>
  <c r="L170" i="1"/>
  <c r="L104" i="1"/>
  <c r="L147" i="1"/>
  <c r="L57" i="1"/>
  <c r="L81" i="1"/>
  <c r="L209" i="1"/>
  <c r="L61" i="1"/>
  <c r="L194" i="1"/>
  <c r="L6" i="1"/>
  <c r="L198" i="1"/>
  <c r="L163" i="1"/>
  <c r="L79" i="1"/>
  <c r="L224" i="1"/>
  <c r="L63" i="1"/>
  <c r="L154" i="1"/>
  <c r="L174" i="1"/>
  <c r="L201" i="1"/>
  <c r="L225" i="1"/>
  <c r="L8" i="1"/>
  <c r="L189" i="1"/>
  <c r="L90" i="1"/>
  <c r="L73" i="1"/>
  <c r="L55" i="1"/>
  <c r="L58" i="1"/>
  <c r="L114" i="1"/>
  <c r="L155" i="1"/>
  <c r="L77" i="1"/>
  <c r="L156" i="1"/>
  <c r="L87" i="1"/>
  <c r="L216" i="1"/>
  <c r="L142" i="1"/>
  <c r="L125" i="1"/>
  <c r="L53" i="1"/>
  <c r="L220" i="1"/>
  <c r="L43" i="1"/>
  <c r="L94" i="1"/>
  <c r="L74" i="1"/>
  <c r="L56" i="1"/>
  <c r="L131" i="1"/>
  <c r="L14" i="1"/>
  <c r="L4" i="1"/>
  <c r="L91" i="1"/>
  <c r="L143" i="1"/>
  <c r="L166" i="1"/>
  <c r="L99" i="1"/>
  <c r="L64" i="1"/>
  <c r="L169" i="1"/>
  <c r="L92" i="1"/>
  <c r="L150" i="1"/>
  <c r="L129" i="1"/>
  <c r="L103" i="1"/>
  <c r="L148" i="1"/>
  <c r="L49" i="1"/>
  <c r="L118" i="1"/>
  <c r="L212" i="1"/>
  <c r="L21" i="1"/>
  <c r="L197" i="1"/>
  <c r="L109" i="1"/>
  <c r="L177" i="1"/>
  <c r="L12" i="1"/>
  <c r="L2" i="1"/>
  <c r="L37" i="1"/>
  <c r="L128" i="1"/>
  <c r="L120" i="1"/>
  <c r="L130" i="1"/>
  <c r="L204" i="1"/>
  <c r="L133" i="1"/>
  <c r="L108" i="1"/>
  <c r="L117" i="1"/>
  <c r="L96" i="1"/>
  <c r="L176" i="1"/>
  <c r="L29" i="1"/>
  <c r="L144" i="1"/>
  <c r="L119" i="1"/>
  <c r="L42" i="1"/>
  <c r="L203" i="1"/>
  <c r="L157" i="1"/>
  <c r="L134" i="1"/>
  <c r="L213" i="1"/>
  <c r="L127" i="1"/>
  <c r="L139" i="1"/>
  <c r="L195" i="1"/>
  <c r="L162" i="1"/>
  <c r="L135" i="1"/>
  <c r="L66" i="1"/>
  <c r="L175" i="1"/>
  <c r="L13" i="1"/>
  <c r="L192" i="1"/>
  <c r="L200" i="1"/>
  <c r="L5" i="1"/>
  <c r="L65" i="1"/>
  <c r="L3" i="1"/>
  <c r="L82" i="1"/>
  <c r="L180" i="1"/>
  <c r="L85" i="1"/>
  <c r="L160" i="1"/>
  <c r="L122" i="1"/>
  <c r="L24" i="1"/>
  <c r="L72" i="1"/>
  <c r="L86" i="1"/>
  <c r="L153" i="1"/>
  <c r="L25" i="1"/>
  <c r="L84" i="1"/>
  <c r="L173" i="1"/>
  <c r="L16" i="1"/>
  <c r="L191" i="1"/>
  <c r="L68" i="1"/>
  <c r="L33" i="1"/>
  <c r="L40" i="1"/>
  <c r="L222" i="1"/>
  <c r="L211" i="1"/>
  <c r="L168" i="1"/>
  <c r="L28" i="1"/>
  <c r="L199" i="1"/>
  <c r="L15" i="1"/>
  <c r="L31" i="1"/>
  <c r="L105" i="1"/>
  <c r="L110" i="1"/>
  <c r="L219" i="1"/>
  <c r="L34" i="1"/>
  <c r="L83" i="1"/>
  <c r="L80" i="1"/>
  <c r="L228" i="1"/>
  <c r="L159" i="1"/>
  <c r="L188" i="1"/>
  <c r="L17" i="1"/>
  <c r="L172" i="1"/>
  <c r="L46" i="1"/>
  <c r="L149" i="1"/>
  <c r="L97" i="1"/>
  <c r="L151" i="1"/>
  <c r="L39" i="1"/>
  <c r="L132" i="1"/>
  <c r="L38" i="1"/>
  <c r="L171" i="1"/>
  <c r="L124" i="1"/>
  <c r="L208" i="1"/>
  <c r="L158" i="1"/>
  <c r="L145" i="1"/>
  <c r="L106" i="1"/>
  <c r="L111" i="1"/>
  <c r="L207" i="1"/>
  <c r="L98" i="1"/>
  <c r="L137" i="1"/>
  <c r="L116" i="1"/>
  <c r="L181" i="1"/>
  <c r="L182" i="1"/>
  <c r="L214" i="1"/>
  <c r="L126" i="1"/>
  <c r="L112" i="1"/>
  <c r="L75" i="1"/>
  <c r="L62" i="1"/>
  <c r="L44" i="1"/>
  <c r="L178" i="1"/>
  <c r="L71" i="1"/>
  <c r="L165" i="1"/>
  <c r="L164" i="1"/>
  <c r="L45" i="1"/>
  <c r="L32" i="1"/>
  <c r="L202" i="1"/>
  <c r="L100" i="1"/>
  <c r="L36" i="1"/>
  <c r="L102" i="1"/>
  <c r="L123" i="1"/>
  <c r="L223" i="1"/>
  <c r="L78" i="1"/>
  <c r="L226" i="1"/>
  <c r="L10" i="1"/>
  <c r="L52" i="1"/>
  <c r="L89" i="1"/>
  <c r="L50" i="1"/>
  <c r="L140" i="1"/>
  <c r="L193" i="1"/>
  <c r="L107" i="1"/>
  <c r="L113" i="1"/>
  <c r="L51" i="1"/>
  <c r="L215" i="1"/>
  <c r="L19" i="1"/>
  <c r="K9" i="1"/>
  <c r="K76" i="1"/>
  <c r="K187" i="1"/>
  <c r="K141" i="1"/>
  <c r="K221" i="1"/>
  <c r="K60" i="1"/>
  <c r="K26" i="1"/>
  <c r="K115" i="1"/>
  <c r="K217" i="1"/>
  <c r="K27" i="1"/>
  <c r="K186" i="1"/>
  <c r="K93" i="1"/>
  <c r="K54" i="1"/>
  <c r="K138" i="1"/>
  <c r="K146" i="1"/>
  <c r="K101" i="1"/>
  <c r="K22" i="1"/>
  <c r="K229" i="1"/>
  <c r="K88" i="1"/>
  <c r="K35" i="1"/>
  <c r="K18" i="1"/>
  <c r="K48" i="1"/>
  <c r="K47" i="1"/>
  <c r="K30" i="1"/>
  <c r="K190" i="1"/>
  <c r="K69" i="1"/>
  <c r="K121" i="1"/>
  <c r="K227" i="1"/>
  <c r="K95" i="1"/>
  <c r="K7" i="1"/>
  <c r="K206" i="1"/>
  <c r="K179" i="1"/>
  <c r="K67" i="1"/>
  <c r="K152" i="1"/>
  <c r="K196" i="1"/>
  <c r="K136" i="1"/>
  <c r="K183" i="1"/>
  <c r="K205" i="1"/>
  <c r="K23" i="1"/>
  <c r="K184" i="1"/>
  <c r="K185" i="1"/>
  <c r="K20" i="1"/>
  <c r="K210" i="1"/>
  <c r="K167" i="1"/>
  <c r="K70" i="1"/>
  <c r="K161" i="1"/>
  <c r="K59" i="1"/>
  <c r="K41" i="1"/>
  <c r="K11" i="1"/>
  <c r="K170" i="1"/>
  <c r="K104" i="1"/>
  <c r="K147" i="1"/>
  <c r="K57" i="1"/>
  <c r="K81" i="1"/>
  <c r="K209" i="1"/>
  <c r="K61" i="1"/>
  <c r="K194" i="1"/>
  <c r="K6" i="1"/>
  <c r="K198" i="1"/>
  <c r="K163" i="1"/>
  <c r="K224" i="1"/>
  <c r="K63" i="1"/>
  <c r="K154" i="1"/>
  <c r="K174" i="1"/>
  <c r="K201" i="1"/>
  <c r="K225" i="1"/>
  <c r="K8" i="1"/>
  <c r="K189" i="1"/>
  <c r="K90" i="1"/>
  <c r="K73" i="1"/>
  <c r="K55" i="1"/>
  <c r="K58" i="1"/>
  <c r="K114" i="1"/>
  <c r="K155" i="1"/>
  <c r="K77" i="1"/>
  <c r="K156" i="1"/>
  <c r="K87" i="1"/>
  <c r="K216" i="1"/>
  <c r="K142" i="1"/>
  <c r="K125" i="1"/>
  <c r="K53" i="1"/>
  <c r="K220" i="1"/>
  <c r="K43" i="1"/>
  <c r="K94" i="1"/>
  <c r="K74" i="1"/>
  <c r="K56" i="1"/>
  <c r="K131" i="1"/>
  <c r="K14" i="1"/>
  <c r="K4" i="1"/>
  <c r="K91" i="1"/>
  <c r="K143" i="1"/>
  <c r="K166" i="1"/>
  <c r="K99" i="1"/>
  <c r="K64" i="1"/>
  <c r="K169" i="1"/>
  <c r="K92" i="1"/>
  <c r="K150" i="1"/>
  <c r="K129" i="1"/>
  <c r="K103" i="1"/>
  <c r="K148" i="1"/>
  <c r="K49" i="1"/>
  <c r="K118" i="1"/>
  <c r="K212" i="1"/>
  <c r="K21" i="1"/>
  <c r="K197" i="1"/>
  <c r="K109" i="1"/>
  <c r="K177" i="1"/>
  <c r="K12" i="1"/>
  <c r="K2" i="1"/>
  <c r="K37" i="1"/>
  <c r="K128" i="1"/>
  <c r="K120" i="1"/>
  <c r="K130" i="1"/>
  <c r="K204" i="1"/>
  <c r="K133" i="1"/>
  <c r="K108" i="1"/>
  <c r="K117" i="1"/>
  <c r="K96" i="1"/>
  <c r="K176" i="1"/>
  <c r="K29" i="1"/>
  <c r="K144" i="1"/>
  <c r="K119" i="1"/>
  <c r="K42" i="1"/>
  <c r="K203" i="1"/>
  <c r="K157" i="1"/>
  <c r="K134" i="1"/>
  <c r="K213" i="1"/>
  <c r="K127" i="1"/>
  <c r="K139" i="1"/>
  <c r="K195" i="1"/>
  <c r="K162" i="1"/>
  <c r="K135" i="1"/>
  <c r="K66" i="1"/>
  <c r="K175" i="1"/>
  <c r="K13" i="1"/>
  <c r="K192" i="1"/>
  <c r="K200" i="1"/>
  <c r="K5" i="1"/>
  <c r="K65" i="1"/>
  <c r="K3" i="1"/>
  <c r="K82" i="1"/>
  <c r="K180" i="1"/>
  <c r="K85" i="1"/>
  <c r="K160" i="1"/>
  <c r="K122" i="1"/>
  <c r="K24" i="1"/>
  <c r="K72" i="1"/>
  <c r="K86" i="1"/>
  <c r="K153" i="1"/>
  <c r="K25" i="1"/>
  <c r="K84" i="1"/>
  <c r="K173" i="1"/>
  <c r="K16" i="1"/>
  <c r="K191" i="1"/>
  <c r="K68" i="1"/>
  <c r="K33" i="1"/>
  <c r="K40" i="1"/>
  <c r="K222" i="1"/>
  <c r="K211" i="1"/>
  <c r="K168" i="1"/>
  <c r="K28" i="1"/>
  <c r="K199" i="1"/>
  <c r="K15" i="1"/>
  <c r="K31" i="1"/>
  <c r="K105" i="1"/>
  <c r="K110" i="1"/>
  <c r="K219" i="1"/>
  <c r="K34" i="1"/>
  <c r="K83" i="1"/>
  <c r="K80" i="1"/>
  <c r="K228" i="1"/>
  <c r="K159" i="1"/>
  <c r="K188" i="1"/>
  <c r="K17" i="1"/>
  <c r="K172" i="1"/>
  <c r="K46" i="1"/>
  <c r="K149" i="1"/>
  <c r="K97" i="1"/>
  <c r="K151" i="1"/>
  <c r="K39" i="1"/>
  <c r="K132" i="1"/>
  <c r="K38" i="1"/>
  <c r="K171" i="1"/>
  <c r="K124" i="1"/>
  <c r="K208" i="1"/>
  <c r="K158" i="1"/>
  <c r="K145" i="1"/>
  <c r="K106" i="1"/>
  <c r="K111" i="1"/>
  <c r="K207" i="1"/>
  <c r="K98" i="1"/>
  <c r="K137" i="1"/>
  <c r="K116" i="1"/>
  <c r="K181" i="1"/>
  <c r="K182" i="1"/>
  <c r="K214" i="1"/>
  <c r="K126" i="1"/>
  <c r="K112" i="1"/>
  <c r="K75" i="1"/>
  <c r="K62" i="1"/>
  <c r="K44" i="1"/>
  <c r="K178" i="1"/>
  <c r="K71" i="1"/>
  <c r="K165" i="1"/>
  <c r="K164" i="1"/>
  <c r="K45" i="1"/>
  <c r="K32" i="1"/>
  <c r="K202" i="1"/>
  <c r="K100" i="1"/>
  <c r="K36" i="1"/>
  <c r="K102" i="1"/>
  <c r="K123" i="1"/>
  <c r="K223" i="1"/>
  <c r="K78" i="1"/>
  <c r="K226" i="1"/>
  <c r="K10" i="1"/>
  <c r="K52" i="1"/>
  <c r="K89" i="1"/>
  <c r="K50" i="1"/>
  <c r="K140" i="1"/>
  <c r="K193" i="1"/>
  <c r="K107" i="1"/>
  <c r="K113" i="1"/>
  <c r="K51" i="1"/>
  <c r="K215" i="1"/>
  <c r="K19" i="1"/>
  <c r="T9" i="1"/>
  <c r="T76" i="1"/>
  <c r="T187" i="1"/>
  <c r="T141" i="1"/>
  <c r="T221" i="1"/>
  <c r="T60" i="1"/>
  <c r="T26" i="1"/>
  <c r="T115" i="1"/>
  <c r="T217" i="1"/>
  <c r="T27" i="1"/>
  <c r="T186" i="1"/>
  <c r="T93" i="1"/>
  <c r="T54" i="1"/>
  <c r="T138" i="1"/>
  <c r="T146" i="1"/>
  <c r="T101" i="1"/>
  <c r="T22" i="1"/>
  <c r="T229" i="1"/>
  <c r="T88" i="1"/>
  <c r="T35" i="1"/>
  <c r="T18" i="1"/>
  <c r="T48" i="1"/>
  <c r="T47" i="1"/>
  <c r="T30" i="1"/>
  <c r="T190" i="1"/>
  <c r="T69" i="1"/>
  <c r="T121" i="1"/>
  <c r="T227" i="1"/>
  <c r="T95" i="1"/>
  <c r="T7" i="1"/>
  <c r="T206" i="1"/>
  <c r="T179" i="1"/>
  <c r="T67" i="1"/>
  <c r="T152" i="1"/>
  <c r="T196" i="1"/>
  <c r="T136" i="1"/>
  <c r="T183" i="1"/>
  <c r="T205" i="1"/>
  <c r="T23" i="1"/>
  <c r="T184" i="1"/>
  <c r="T185" i="1"/>
  <c r="T20" i="1"/>
  <c r="T210" i="1"/>
  <c r="T167" i="1"/>
  <c r="T70" i="1"/>
  <c r="T161" i="1"/>
  <c r="T59" i="1"/>
  <c r="T41" i="1"/>
  <c r="T11" i="1"/>
  <c r="T170" i="1"/>
  <c r="T104" i="1"/>
  <c r="T147" i="1"/>
  <c r="T57" i="1"/>
  <c r="T81" i="1"/>
  <c r="T209" i="1"/>
  <c r="T61" i="1"/>
  <c r="T194" i="1"/>
  <c r="T6" i="1"/>
  <c r="T198" i="1"/>
  <c r="T163" i="1"/>
  <c r="T79" i="1"/>
  <c r="T224" i="1"/>
  <c r="T63" i="1"/>
  <c r="T154" i="1"/>
  <c r="T174" i="1"/>
  <c r="T201" i="1"/>
  <c r="T225" i="1"/>
  <c r="T8" i="1"/>
  <c r="T189" i="1"/>
  <c r="T90" i="1"/>
  <c r="T73" i="1"/>
  <c r="T55" i="1"/>
  <c r="T58" i="1"/>
  <c r="T114" i="1"/>
  <c r="T155" i="1"/>
  <c r="T77" i="1"/>
  <c r="T156" i="1"/>
  <c r="T87" i="1"/>
  <c r="T216" i="1"/>
  <c r="T142" i="1"/>
  <c r="T125" i="1"/>
  <c r="T53" i="1"/>
  <c r="T220" i="1"/>
  <c r="T43" i="1"/>
  <c r="T94" i="1"/>
  <c r="T74" i="1"/>
  <c r="T56" i="1"/>
  <c r="T131" i="1"/>
  <c r="T14" i="1"/>
  <c r="T4" i="1"/>
  <c r="T91" i="1"/>
  <c r="T143" i="1"/>
  <c r="T166" i="1"/>
  <c r="T99" i="1"/>
  <c r="T64" i="1"/>
  <c r="T169" i="1"/>
  <c r="T92" i="1"/>
  <c r="T150" i="1"/>
  <c r="T129" i="1"/>
  <c r="T103" i="1"/>
  <c r="T148" i="1"/>
  <c r="T49" i="1"/>
  <c r="T118" i="1"/>
  <c r="T212" i="1"/>
  <c r="T21" i="1"/>
  <c r="T197" i="1"/>
  <c r="T109" i="1"/>
  <c r="T177" i="1"/>
  <c r="T12" i="1"/>
  <c r="T2" i="1"/>
  <c r="T37" i="1"/>
  <c r="T128" i="1"/>
  <c r="T120" i="1"/>
  <c r="T130" i="1"/>
  <c r="T204" i="1"/>
  <c r="T133" i="1"/>
  <c r="T108" i="1"/>
  <c r="T117" i="1"/>
  <c r="T96" i="1"/>
  <c r="T176" i="1"/>
  <c r="T29" i="1"/>
  <c r="T144" i="1"/>
  <c r="T119" i="1"/>
  <c r="T42" i="1"/>
  <c r="T203" i="1"/>
  <c r="T157" i="1"/>
  <c r="T134" i="1"/>
  <c r="T213" i="1"/>
  <c r="T127" i="1"/>
  <c r="T139" i="1"/>
  <c r="T195" i="1"/>
  <c r="T162" i="1"/>
  <c r="T135" i="1"/>
  <c r="T66" i="1"/>
  <c r="T175" i="1"/>
  <c r="T13" i="1"/>
  <c r="T192" i="1"/>
  <c r="T200" i="1"/>
  <c r="T5" i="1"/>
  <c r="T65" i="1"/>
  <c r="T3" i="1"/>
  <c r="T82" i="1"/>
  <c r="T180" i="1"/>
  <c r="T85" i="1"/>
  <c r="T160" i="1"/>
  <c r="T122" i="1"/>
  <c r="T24" i="1"/>
  <c r="T72" i="1"/>
  <c r="T86" i="1"/>
  <c r="T153" i="1"/>
  <c r="T25" i="1"/>
  <c r="T84" i="1"/>
  <c r="T173" i="1"/>
  <c r="T16" i="1"/>
  <c r="T191" i="1"/>
  <c r="T68" i="1"/>
  <c r="T33" i="1"/>
  <c r="T40" i="1"/>
  <c r="T222" i="1"/>
  <c r="T211" i="1"/>
  <c r="T168" i="1"/>
  <c r="T28" i="1"/>
  <c r="T199" i="1"/>
  <c r="T15" i="1"/>
  <c r="T31" i="1"/>
  <c r="T105" i="1"/>
  <c r="T110" i="1"/>
  <c r="T219" i="1"/>
  <c r="T34" i="1"/>
  <c r="T83" i="1"/>
  <c r="T80" i="1"/>
  <c r="T228" i="1"/>
  <c r="T159" i="1"/>
  <c r="T188" i="1"/>
  <c r="T17" i="1"/>
  <c r="T172" i="1"/>
  <c r="T46" i="1"/>
  <c r="T149" i="1"/>
  <c r="T97" i="1"/>
  <c r="T151" i="1"/>
  <c r="T39" i="1"/>
  <c r="T132" i="1"/>
  <c r="T38" i="1"/>
  <c r="T171" i="1"/>
  <c r="T124" i="1"/>
  <c r="T208" i="1"/>
  <c r="T158" i="1"/>
  <c r="T145" i="1"/>
  <c r="T106" i="1"/>
  <c r="T111" i="1"/>
  <c r="T207" i="1"/>
  <c r="T98" i="1"/>
  <c r="T137" i="1"/>
  <c r="T116" i="1"/>
  <c r="T181" i="1"/>
  <c r="T182" i="1"/>
  <c r="T214" i="1"/>
  <c r="T126" i="1"/>
  <c r="T112" i="1"/>
  <c r="T75" i="1"/>
  <c r="T62" i="1"/>
  <c r="T44" i="1"/>
  <c r="T178" i="1"/>
  <c r="T71" i="1"/>
  <c r="T165" i="1"/>
  <c r="T164" i="1"/>
  <c r="T45" i="1"/>
  <c r="T32" i="1"/>
  <c r="T202" i="1"/>
  <c r="T100" i="1"/>
  <c r="T36" i="1"/>
  <c r="T102" i="1"/>
  <c r="T123" i="1"/>
  <c r="T223" i="1"/>
  <c r="T78" i="1"/>
  <c r="T226" i="1"/>
  <c r="T10" i="1"/>
  <c r="T52" i="1"/>
  <c r="T89" i="1"/>
  <c r="T50" i="1"/>
  <c r="T140" i="1"/>
  <c r="T193" i="1"/>
  <c r="T107" i="1"/>
  <c r="T113" i="1"/>
  <c r="T51" i="1"/>
  <c r="T215" i="1"/>
  <c r="T19" i="1"/>
  <c r="T218" i="1"/>
  <c r="S9" i="1"/>
  <c r="S76" i="1"/>
  <c r="S187" i="1"/>
  <c r="S141" i="1"/>
  <c r="S221" i="1"/>
  <c r="S60" i="1"/>
  <c r="S26" i="1"/>
  <c r="S115" i="1"/>
  <c r="S217" i="1"/>
  <c r="S27" i="1"/>
  <c r="S186" i="1"/>
  <c r="S93" i="1"/>
  <c r="S54" i="1"/>
  <c r="S138" i="1"/>
  <c r="S146" i="1"/>
  <c r="S101" i="1"/>
  <c r="S22" i="1"/>
  <c r="S229" i="1"/>
  <c r="S88" i="1"/>
  <c r="S35" i="1"/>
  <c r="S18" i="1"/>
  <c r="S48" i="1"/>
  <c r="S47" i="1"/>
  <c r="S30" i="1"/>
  <c r="S190" i="1"/>
  <c r="S69" i="1"/>
  <c r="S121" i="1"/>
  <c r="S227" i="1"/>
  <c r="S95" i="1"/>
  <c r="S7" i="1"/>
  <c r="S206" i="1"/>
  <c r="S179" i="1"/>
  <c r="S67" i="1"/>
  <c r="S152" i="1"/>
  <c r="S196" i="1"/>
  <c r="S136" i="1"/>
  <c r="S183" i="1"/>
  <c r="S205" i="1"/>
  <c r="S23" i="1"/>
  <c r="S184" i="1"/>
  <c r="S185" i="1"/>
  <c r="S20" i="1"/>
  <c r="S210" i="1"/>
  <c r="S167" i="1"/>
  <c r="S70" i="1"/>
  <c r="S161" i="1"/>
  <c r="S59" i="1"/>
  <c r="S41" i="1"/>
  <c r="S11" i="1"/>
  <c r="S170" i="1"/>
  <c r="S104" i="1"/>
  <c r="S147" i="1"/>
  <c r="S57" i="1"/>
  <c r="S81" i="1"/>
  <c r="S209" i="1"/>
  <c r="S61" i="1"/>
  <c r="S194" i="1"/>
  <c r="S6" i="1"/>
  <c r="S198" i="1"/>
  <c r="S163" i="1"/>
  <c r="S79" i="1"/>
  <c r="S224" i="1"/>
  <c r="S63" i="1"/>
  <c r="S154" i="1"/>
  <c r="S174" i="1"/>
  <c r="S201" i="1"/>
  <c r="S225" i="1"/>
  <c r="S8" i="1"/>
  <c r="S189" i="1"/>
  <c r="S90" i="1"/>
  <c r="S73" i="1"/>
  <c r="S55" i="1"/>
  <c r="S58" i="1"/>
  <c r="S114" i="1"/>
  <c r="S155" i="1"/>
  <c r="S77" i="1"/>
  <c r="S156" i="1"/>
  <c r="S87" i="1"/>
  <c r="S216" i="1"/>
  <c r="S142" i="1"/>
  <c r="S125" i="1"/>
  <c r="S53" i="1"/>
  <c r="S220" i="1"/>
  <c r="S43" i="1"/>
  <c r="S94" i="1"/>
  <c r="S74" i="1"/>
  <c r="S56" i="1"/>
  <c r="S131" i="1"/>
  <c r="S14" i="1"/>
  <c r="S4" i="1"/>
  <c r="S91" i="1"/>
  <c r="S143" i="1"/>
  <c r="S166" i="1"/>
  <c r="S99" i="1"/>
  <c r="S64" i="1"/>
  <c r="S169" i="1"/>
  <c r="S92" i="1"/>
  <c r="S150" i="1"/>
  <c r="S129" i="1"/>
  <c r="S103" i="1"/>
  <c r="S148" i="1"/>
  <c r="S49" i="1"/>
  <c r="S118" i="1"/>
  <c r="S212" i="1"/>
  <c r="S21" i="1"/>
  <c r="S197" i="1"/>
  <c r="S109" i="1"/>
  <c r="S177" i="1"/>
  <c r="S12" i="1"/>
  <c r="S2" i="1"/>
  <c r="S37" i="1"/>
  <c r="S128" i="1"/>
  <c r="S120" i="1"/>
  <c r="S130" i="1"/>
  <c r="S204" i="1"/>
  <c r="S133" i="1"/>
  <c r="S108" i="1"/>
  <c r="S117" i="1"/>
  <c r="S96" i="1"/>
  <c r="S176" i="1"/>
  <c r="S29" i="1"/>
  <c r="S144" i="1"/>
  <c r="S119" i="1"/>
  <c r="S42" i="1"/>
  <c r="S203" i="1"/>
  <c r="S157" i="1"/>
  <c r="S134" i="1"/>
  <c r="S213" i="1"/>
  <c r="S127" i="1"/>
  <c r="S139" i="1"/>
  <c r="S195" i="1"/>
  <c r="S162" i="1"/>
  <c r="S135" i="1"/>
  <c r="S66" i="1"/>
  <c r="S175" i="1"/>
  <c r="S13" i="1"/>
  <c r="S192" i="1"/>
  <c r="S200" i="1"/>
  <c r="S5" i="1"/>
  <c r="S65" i="1"/>
  <c r="S3" i="1"/>
  <c r="S82" i="1"/>
  <c r="S180" i="1"/>
  <c r="S85" i="1"/>
  <c r="S160" i="1"/>
  <c r="S122" i="1"/>
  <c r="S24" i="1"/>
  <c r="S72" i="1"/>
  <c r="S86" i="1"/>
  <c r="S153" i="1"/>
  <c r="S25" i="1"/>
  <c r="S84" i="1"/>
  <c r="S173" i="1"/>
  <c r="S16" i="1"/>
  <c r="S191" i="1"/>
  <c r="S68" i="1"/>
  <c r="S33" i="1"/>
  <c r="S40" i="1"/>
  <c r="S222" i="1"/>
  <c r="S211" i="1"/>
  <c r="S168" i="1"/>
  <c r="S28" i="1"/>
  <c r="S199" i="1"/>
  <c r="S15" i="1"/>
  <c r="S31" i="1"/>
  <c r="S105" i="1"/>
  <c r="S110" i="1"/>
  <c r="S219" i="1"/>
  <c r="S34" i="1"/>
  <c r="S83" i="1"/>
  <c r="S80" i="1"/>
  <c r="S228" i="1"/>
  <c r="S159" i="1"/>
  <c r="S188" i="1"/>
  <c r="S17" i="1"/>
  <c r="S172" i="1"/>
  <c r="S46" i="1"/>
  <c r="S149" i="1"/>
  <c r="S97" i="1"/>
  <c r="S151" i="1"/>
  <c r="S39" i="1"/>
  <c r="S132" i="1"/>
  <c r="S38" i="1"/>
  <c r="S171" i="1"/>
  <c r="S124" i="1"/>
  <c r="S208" i="1"/>
  <c r="S158" i="1"/>
  <c r="S145" i="1"/>
  <c r="S106" i="1"/>
  <c r="S111" i="1"/>
  <c r="S207" i="1"/>
  <c r="S98" i="1"/>
  <c r="S137" i="1"/>
  <c r="S116" i="1"/>
  <c r="S181" i="1"/>
  <c r="S182" i="1"/>
  <c r="S214" i="1"/>
  <c r="S126" i="1"/>
  <c r="S112" i="1"/>
  <c r="S75" i="1"/>
  <c r="S62" i="1"/>
  <c r="S44" i="1"/>
  <c r="S178" i="1"/>
  <c r="S71" i="1"/>
  <c r="S165" i="1"/>
  <c r="S164" i="1"/>
  <c r="S45" i="1"/>
  <c r="S32" i="1"/>
  <c r="S202" i="1"/>
  <c r="S100" i="1"/>
  <c r="S36" i="1"/>
  <c r="S102" i="1"/>
  <c r="S123" i="1"/>
  <c r="S223" i="1"/>
  <c r="S78" i="1"/>
  <c r="S226" i="1"/>
  <c r="S10" i="1"/>
  <c r="S52" i="1"/>
  <c r="S89" i="1"/>
  <c r="S50" i="1"/>
  <c r="S140" i="1"/>
  <c r="S193" i="1"/>
  <c r="S107" i="1"/>
  <c r="S113" i="1"/>
  <c r="S51" i="1"/>
  <c r="S215" i="1"/>
  <c r="S19" i="1"/>
  <c r="S218" i="1"/>
  <c r="R9" i="1"/>
  <c r="R76" i="1"/>
  <c r="R187" i="1"/>
  <c r="R141" i="1"/>
  <c r="R221" i="1"/>
  <c r="R60" i="1"/>
  <c r="R26" i="1"/>
  <c r="R115" i="1"/>
  <c r="R217" i="1"/>
  <c r="R27" i="1"/>
  <c r="R186" i="1"/>
  <c r="R93" i="1"/>
  <c r="R54" i="1"/>
  <c r="R138" i="1"/>
  <c r="R146" i="1"/>
  <c r="R101" i="1"/>
  <c r="R22" i="1"/>
  <c r="R229" i="1"/>
  <c r="R88" i="1"/>
  <c r="R35" i="1"/>
  <c r="R18" i="1"/>
  <c r="R48" i="1"/>
  <c r="R47" i="1"/>
  <c r="R30" i="1"/>
  <c r="R190" i="1"/>
  <c r="R69" i="1"/>
  <c r="R121" i="1"/>
  <c r="R227" i="1"/>
  <c r="R95" i="1"/>
  <c r="R7" i="1"/>
  <c r="R206" i="1"/>
  <c r="R179" i="1"/>
  <c r="R67" i="1"/>
  <c r="R152" i="1"/>
  <c r="R196" i="1"/>
  <c r="R136" i="1"/>
  <c r="R183" i="1"/>
  <c r="R205" i="1"/>
  <c r="R23" i="1"/>
  <c r="R184" i="1"/>
  <c r="R185" i="1"/>
  <c r="R20" i="1"/>
  <c r="R210" i="1"/>
  <c r="R167" i="1"/>
  <c r="R70" i="1"/>
  <c r="R161" i="1"/>
  <c r="R59" i="1"/>
  <c r="R41" i="1"/>
  <c r="R11" i="1"/>
  <c r="R170" i="1"/>
  <c r="R104" i="1"/>
  <c r="R147" i="1"/>
  <c r="R57" i="1"/>
  <c r="R81" i="1"/>
  <c r="R209" i="1"/>
  <c r="R61" i="1"/>
  <c r="R194" i="1"/>
  <c r="R6" i="1"/>
  <c r="R198" i="1"/>
  <c r="R163" i="1"/>
  <c r="R79" i="1"/>
  <c r="R224" i="1"/>
  <c r="R63" i="1"/>
  <c r="R154" i="1"/>
  <c r="R174" i="1"/>
  <c r="R201" i="1"/>
  <c r="R225" i="1"/>
  <c r="R8" i="1"/>
  <c r="R189" i="1"/>
  <c r="R90" i="1"/>
  <c r="R73" i="1"/>
  <c r="R55" i="1"/>
  <c r="R58" i="1"/>
  <c r="R114" i="1"/>
  <c r="R155" i="1"/>
  <c r="R77" i="1"/>
  <c r="R156" i="1"/>
  <c r="R87" i="1"/>
  <c r="R216" i="1"/>
  <c r="R142" i="1"/>
  <c r="R125" i="1"/>
  <c r="R53" i="1"/>
  <c r="R220" i="1"/>
  <c r="R43" i="1"/>
  <c r="R94" i="1"/>
  <c r="R74" i="1"/>
  <c r="R56" i="1"/>
  <c r="R131" i="1"/>
  <c r="R14" i="1"/>
  <c r="R4" i="1"/>
  <c r="R91" i="1"/>
  <c r="R143" i="1"/>
  <c r="R166" i="1"/>
  <c r="R99" i="1"/>
  <c r="R64" i="1"/>
  <c r="R169" i="1"/>
  <c r="R92" i="1"/>
  <c r="R150" i="1"/>
  <c r="R129" i="1"/>
  <c r="R103" i="1"/>
  <c r="R148" i="1"/>
  <c r="R49" i="1"/>
  <c r="R118" i="1"/>
  <c r="R212" i="1"/>
  <c r="R21" i="1"/>
  <c r="R197" i="1"/>
  <c r="R109" i="1"/>
  <c r="R177" i="1"/>
  <c r="R12" i="1"/>
  <c r="R2" i="1"/>
  <c r="R37" i="1"/>
  <c r="R128" i="1"/>
  <c r="R120" i="1"/>
  <c r="R130" i="1"/>
  <c r="R204" i="1"/>
  <c r="R133" i="1"/>
  <c r="R108" i="1"/>
  <c r="R117" i="1"/>
  <c r="R96" i="1"/>
  <c r="R176" i="1"/>
  <c r="R29" i="1"/>
  <c r="R144" i="1"/>
  <c r="R119" i="1"/>
  <c r="R42" i="1"/>
  <c r="R203" i="1"/>
  <c r="R157" i="1"/>
  <c r="R134" i="1"/>
  <c r="R213" i="1"/>
  <c r="R127" i="1"/>
  <c r="R139" i="1"/>
  <c r="R195" i="1"/>
  <c r="R162" i="1"/>
  <c r="R135" i="1"/>
  <c r="R66" i="1"/>
  <c r="R175" i="1"/>
  <c r="R13" i="1"/>
  <c r="R192" i="1"/>
  <c r="R200" i="1"/>
  <c r="R5" i="1"/>
  <c r="R65" i="1"/>
  <c r="R3" i="1"/>
  <c r="R82" i="1"/>
  <c r="R180" i="1"/>
  <c r="R85" i="1"/>
  <c r="R160" i="1"/>
  <c r="R122" i="1"/>
  <c r="R24" i="1"/>
  <c r="R72" i="1"/>
  <c r="R86" i="1"/>
  <c r="R153" i="1"/>
  <c r="R25" i="1"/>
  <c r="R84" i="1"/>
  <c r="R173" i="1"/>
  <c r="R16" i="1"/>
  <c r="R191" i="1"/>
  <c r="R68" i="1"/>
  <c r="R33" i="1"/>
  <c r="R40" i="1"/>
  <c r="R222" i="1"/>
  <c r="R211" i="1"/>
  <c r="R168" i="1"/>
  <c r="R28" i="1"/>
  <c r="R199" i="1"/>
  <c r="R15" i="1"/>
  <c r="R31" i="1"/>
  <c r="R105" i="1"/>
  <c r="R110" i="1"/>
  <c r="R219" i="1"/>
  <c r="R34" i="1"/>
  <c r="R83" i="1"/>
  <c r="R80" i="1"/>
  <c r="R228" i="1"/>
  <c r="R159" i="1"/>
  <c r="R188" i="1"/>
  <c r="R17" i="1"/>
  <c r="R172" i="1"/>
  <c r="R46" i="1"/>
  <c r="R149" i="1"/>
  <c r="R97" i="1"/>
  <c r="R151" i="1"/>
  <c r="R39" i="1"/>
  <c r="R132" i="1"/>
  <c r="R38" i="1"/>
  <c r="R171" i="1"/>
  <c r="R124" i="1"/>
  <c r="R208" i="1"/>
  <c r="R158" i="1"/>
  <c r="R145" i="1"/>
  <c r="R106" i="1"/>
  <c r="R111" i="1"/>
  <c r="R207" i="1"/>
  <c r="R98" i="1"/>
  <c r="R137" i="1"/>
  <c r="R116" i="1"/>
  <c r="R181" i="1"/>
  <c r="R182" i="1"/>
  <c r="R214" i="1"/>
  <c r="R126" i="1"/>
  <c r="R112" i="1"/>
  <c r="R75" i="1"/>
  <c r="R62" i="1"/>
  <c r="R44" i="1"/>
  <c r="R178" i="1"/>
  <c r="R71" i="1"/>
  <c r="R165" i="1"/>
  <c r="R164" i="1"/>
  <c r="R45" i="1"/>
  <c r="R32" i="1"/>
  <c r="R202" i="1"/>
  <c r="R100" i="1"/>
  <c r="R36" i="1"/>
  <c r="R102" i="1"/>
  <c r="R123" i="1"/>
  <c r="R223" i="1"/>
  <c r="R78" i="1"/>
  <c r="R226" i="1"/>
  <c r="R10" i="1"/>
  <c r="R52" i="1"/>
  <c r="R89" i="1"/>
  <c r="R50" i="1"/>
  <c r="R140" i="1"/>
  <c r="R193" i="1"/>
  <c r="R107" i="1"/>
  <c r="R113" i="1"/>
  <c r="R51" i="1"/>
  <c r="R215" i="1"/>
  <c r="R19" i="1"/>
  <c r="Q9" i="1"/>
  <c r="Q76" i="1"/>
  <c r="Q187" i="1"/>
  <c r="Q141" i="1"/>
  <c r="Q221" i="1"/>
  <c r="Q60" i="1"/>
  <c r="Q26" i="1"/>
  <c r="Q115" i="1"/>
  <c r="Q217" i="1"/>
  <c r="Q27" i="1"/>
  <c r="Q186" i="1"/>
  <c r="Q93" i="1"/>
  <c r="Q54" i="1"/>
  <c r="Q138" i="1"/>
  <c r="Q146" i="1"/>
  <c r="Q101" i="1"/>
  <c r="Q22" i="1"/>
  <c r="Q229" i="1"/>
  <c r="Q88" i="1"/>
  <c r="Q35" i="1"/>
  <c r="Q18" i="1"/>
  <c r="Q48" i="1"/>
  <c r="Q47" i="1"/>
  <c r="Q30" i="1"/>
  <c r="Q190" i="1"/>
  <c r="Q69" i="1"/>
  <c r="Q121" i="1"/>
  <c r="Q227" i="1"/>
  <c r="Q95" i="1"/>
  <c r="Q7" i="1"/>
  <c r="Q206" i="1"/>
  <c r="Q179" i="1"/>
  <c r="Q67" i="1"/>
  <c r="Q152" i="1"/>
  <c r="Q196" i="1"/>
  <c r="Q136" i="1"/>
  <c r="Q183" i="1"/>
  <c r="Q205" i="1"/>
  <c r="Q23" i="1"/>
  <c r="Q184" i="1"/>
  <c r="Q185" i="1"/>
  <c r="Q20" i="1"/>
  <c r="Q210" i="1"/>
  <c r="Q167" i="1"/>
  <c r="Q70" i="1"/>
  <c r="Q161" i="1"/>
  <c r="Q59" i="1"/>
  <c r="Q41" i="1"/>
  <c r="Q11" i="1"/>
  <c r="Q170" i="1"/>
  <c r="Q104" i="1"/>
  <c r="Q147" i="1"/>
  <c r="Q57" i="1"/>
  <c r="Q81" i="1"/>
  <c r="Q209" i="1"/>
  <c r="Q61" i="1"/>
  <c r="Q194" i="1"/>
  <c r="Q6" i="1"/>
  <c r="Q198" i="1"/>
  <c r="Q163" i="1"/>
  <c r="Q79" i="1"/>
  <c r="Q224" i="1"/>
  <c r="Q63" i="1"/>
  <c r="Q154" i="1"/>
  <c r="Q174" i="1"/>
  <c r="Q201" i="1"/>
  <c r="Q225" i="1"/>
  <c r="Q8" i="1"/>
  <c r="Q189" i="1"/>
  <c r="Q90" i="1"/>
  <c r="Q73" i="1"/>
  <c r="Q55" i="1"/>
  <c r="Q58" i="1"/>
  <c r="Q114" i="1"/>
  <c r="Q155" i="1"/>
  <c r="Q77" i="1"/>
  <c r="Q156" i="1"/>
  <c r="Q87" i="1"/>
  <c r="Q216" i="1"/>
  <c r="Q142" i="1"/>
  <c r="Q125" i="1"/>
  <c r="Q53" i="1"/>
  <c r="Q220" i="1"/>
  <c r="Q43" i="1"/>
  <c r="Q94" i="1"/>
  <c r="Q74" i="1"/>
  <c r="Q56" i="1"/>
  <c r="Q131" i="1"/>
  <c r="Q14" i="1"/>
  <c r="Q4" i="1"/>
  <c r="Q91" i="1"/>
  <c r="Q143" i="1"/>
  <c r="Q166" i="1"/>
  <c r="Q99" i="1"/>
  <c r="Q64" i="1"/>
  <c r="Q169" i="1"/>
  <c r="Q92" i="1"/>
  <c r="Q150" i="1"/>
  <c r="Q129" i="1"/>
  <c r="Q103" i="1"/>
  <c r="Q148" i="1"/>
  <c r="Q49" i="1"/>
  <c r="Q118" i="1"/>
  <c r="Q212" i="1"/>
  <c r="Q21" i="1"/>
  <c r="Q197" i="1"/>
  <c r="Q109" i="1"/>
  <c r="Q177" i="1"/>
  <c r="Q12" i="1"/>
  <c r="Q2" i="1"/>
  <c r="Q37" i="1"/>
  <c r="Q128" i="1"/>
  <c r="Q120" i="1"/>
  <c r="Q130" i="1"/>
  <c r="Q204" i="1"/>
  <c r="Q133" i="1"/>
  <c r="Q108" i="1"/>
  <c r="Q117" i="1"/>
  <c r="Q96" i="1"/>
  <c r="Q176" i="1"/>
  <c r="Q29" i="1"/>
  <c r="Q144" i="1"/>
  <c r="Q119" i="1"/>
  <c r="Q42" i="1"/>
  <c r="Q203" i="1"/>
  <c r="Q157" i="1"/>
  <c r="Q134" i="1"/>
  <c r="Q213" i="1"/>
  <c r="Q127" i="1"/>
  <c r="Q139" i="1"/>
  <c r="Q195" i="1"/>
  <c r="Q162" i="1"/>
  <c r="Q135" i="1"/>
  <c r="Q66" i="1"/>
  <c r="Q175" i="1"/>
  <c r="Q13" i="1"/>
  <c r="Q192" i="1"/>
  <c r="Q200" i="1"/>
  <c r="Q5" i="1"/>
  <c r="Q65" i="1"/>
  <c r="Q3" i="1"/>
  <c r="Q82" i="1"/>
  <c r="Q180" i="1"/>
  <c r="Q85" i="1"/>
  <c r="Q160" i="1"/>
  <c r="Q122" i="1"/>
  <c r="Q24" i="1"/>
  <c r="Q72" i="1"/>
  <c r="Q86" i="1"/>
  <c r="Q153" i="1"/>
  <c r="Q25" i="1"/>
  <c r="Q84" i="1"/>
  <c r="Q173" i="1"/>
  <c r="Q16" i="1"/>
  <c r="Q191" i="1"/>
  <c r="Q68" i="1"/>
  <c r="Q33" i="1"/>
  <c r="Q40" i="1"/>
  <c r="Q222" i="1"/>
  <c r="Q211" i="1"/>
  <c r="Q168" i="1"/>
  <c r="Q28" i="1"/>
  <c r="Q199" i="1"/>
  <c r="Q15" i="1"/>
  <c r="Q31" i="1"/>
  <c r="Q105" i="1"/>
  <c r="Q110" i="1"/>
  <c r="Q219" i="1"/>
  <c r="Q34" i="1"/>
  <c r="Q83" i="1"/>
  <c r="Q80" i="1"/>
  <c r="Q228" i="1"/>
  <c r="Q159" i="1"/>
  <c r="Q188" i="1"/>
  <c r="Q17" i="1"/>
  <c r="Q172" i="1"/>
  <c r="Q46" i="1"/>
  <c r="Q149" i="1"/>
  <c r="Q97" i="1"/>
  <c r="Q151" i="1"/>
  <c r="Q39" i="1"/>
  <c r="Q132" i="1"/>
  <c r="Q38" i="1"/>
  <c r="Q171" i="1"/>
  <c r="Q124" i="1"/>
  <c r="Q208" i="1"/>
  <c r="Q158" i="1"/>
  <c r="Q145" i="1"/>
  <c r="Q106" i="1"/>
  <c r="Q111" i="1"/>
  <c r="Q207" i="1"/>
  <c r="Q98" i="1"/>
  <c r="Q137" i="1"/>
  <c r="Q116" i="1"/>
  <c r="Q181" i="1"/>
  <c r="Q182" i="1"/>
  <c r="Q214" i="1"/>
  <c r="Q126" i="1"/>
  <c r="Q112" i="1"/>
  <c r="Q75" i="1"/>
  <c r="Q62" i="1"/>
  <c r="Q44" i="1"/>
  <c r="Q178" i="1"/>
  <c r="Q71" i="1"/>
  <c r="Q165" i="1"/>
  <c r="Q164" i="1"/>
  <c r="Q45" i="1"/>
  <c r="Q32" i="1"/>
  <c r="Q202" i="1"/>
  <c r="Q100" i="1"/>
  <c r="Q36" i="1"/>
  <c r="Q102" i="1"/>
  <c r="Q123" i="1"/>
  <c r="Q223" i="1"/>
  <c r="Q78" i="1"/>
  <c r="Q226" i="1"/>
  <c r="Q10" i="1"/>
  <c r="Q52" i="1"/>
  <c r="Q89" i="1"/>
  <c r="Q50" i="1"/>
  <c r="Q140" i="1"/>
  <c r="Q193" i="1"/>
  <c r="Q107" i="1"/>
  <c r="Q113" i="1"/>
  <c r="Q51" i="1"/>
  <c r="Q215" i="1"/>
  <c r="Q19" i="1"/>
  <c r="Q218" i="1"/>
  <c r="P9" i="1"/>
  <c r="P76" i="1"/>
  <c r="P187" i="1"/>
  <c r="P141" i="1"/>
  <c r="P221" i="1"/>
  <c r="P60" i="1"/>
  <c r="P26" i="1"/>
  <c r="P115" i="1"/>
  <c r="P217" i="1"/>
  <c r="P27" i="1"/>
  <c r="P186" i="1"/>
  <c r="P93" i="1"/>
  <c r="P54" i="1"/>
  <c r="P138" i="1"/>
  <c r="P146" i="1"/>
  <c r="P101" i="1"/>
  <c r="P22" i="1"/>
  <c r="P229" i="1"/>
  <c r="P88" i="1"/>
  <c r="P35" i="1"/>
  <c r="P18" i="1"/>
  <c r="P48" i="1"/>
  <c r="P47" i="1"/>
  <c r="P30" i="1"/>
  <c r="P190" i="1"/>
  <c r="P69" i="1"/>
  <c r="P121" i="1"/>
  <c r="P227" i="1"/>
  <c r="P95" i="1"/>
  <c r="P7" i="1"/>
  <c r="P206" i="1"/>
  <c r="P179" i="1"/>
  <c r="P67" i="1"/>
  <c r="P152" i="1"/>
  <c r="P196" i="1"/>
  <c r="P136" i="1"/>
  <c r="P183" i="1"/>
  <c r="P205" i="1"/>
  <c r="P23" i="1"/>
  <c r="P184" i="1"/>
  <c r="P185" i="1"/>
  <c r="P20" i="1"/>
  <c r="P210" i="1"/>
  <c r="P167" i="1"/>
  <c r="P70" i="1"/>
  <c r="P161" i="1"/>
  <c r="P59" i="1"/>
  <c r="P41" i="1"/>
  <c r="P11" i="1"/>
  <c r="P170" i="1"/>
  <c r="P104" i="1"/>
  <c r="P147" i="1"/>
  <c r="P57" i="1"/>
  <c r="P81" i="1"/>
  <c r="P209" i="1"/>
  <c r="P61" i="1"/>
  <c r="P194" i="1"/>
  <c r="P6" i="1"/>
  <c r="P198" i="1"/>
  <c r="P163" i="1"/>
  <c r="P79" i="1"/>
  <c r="P224" i="1"/>
  <c r="P63" i="1"/>
  <c r="P154" i="1"/>
  <c r="P174" i="1"/>
  <c r="P201" i="1"/>
  <c r="P225" i="1"/>
  <c r="P8" i="1"/>
  <c r="P189" i="1"/>
  <c r="P90" i="1"/>
  <c r="P73" i="1"/>
  <c r="P55" i="1"/>
  <c r="P58" i="1"/>
  <c r="P114" i="1"/>
  <c r="P155" i="1"/>
  <c r="P77" i="1"/>
  <c r="P156" i="1"/>
  <c r="P87" i="1"/>
  <c r="P216" i="1"/>
  <c r="P142" i="1"/>
  <c r="P125" i="1"/>
  <c r="P53" i="1"/>
  <c r="P220" i="1"/>
  <c r="P43" i="1"/>
  <c r="P94" i="1"/>
  <c r="P74" i="1"/>
  <c r="P56" i="1"/>
  <c r="P131" i="1"/>
  <c r="P14" i="1"/>
  <c r="P4" i="1"/>
  <c r="P91" i="1"/>
  <c r="P143" i="1"/>
  <c r="P166" i="1"/>
  <c r="P99" i="1"/>
  <c r="P64" i="1"/>
  <c r="P169" i="1"/>
  <c r="P92" i="1"/>
  <c r="P150" i="1"/>
  <c r="P129" i="1"/>
  <c r="P103" i="1"/>
  <c r="P148" i="1"/>
  <c r="P49" i="1"/>
  <c r="P118" i="1"/>
  <c r="P212" i="1"/>
  <c r="P21" i="1"/>
  <c r="P197" i="1"/>
  <c r="P109" i="1"/>
  <c r="P177" i="1"/>
  <c r="P12" i="1"/>
  <c r="P2" i="1"/>
  <c r="P37" i="1"/>
  <c r="P128" i="1"/>
  <c r="P120" i="1"/>
  <c r="P130" i="1"/>
  <c r="P204" i="1"/>
  <c r="P133" i="1"/>
  <c r="P108" i="1"/>
  <c r="P117" i="1"/>
  <c r="P96" i="1"/>
  <c r="P176" i="1"/>
  <c r="P29" i="1"/>
  <c r="P144" i="1"/>
  <c r="P119" i="1"/>
  <c r="P42" i="1"/>
  <c r="P203" i="1"/>
  <c r="P157" i="1"/>
  <c r="P134" i="1"/>
  <c r="P213" i="1"/>
  <c r="P127" i="1"/>
  <c r="P139" i="1"/>
  <c r="P195" i="1"/>
  <c r="P162" i="1"/>
  <c r="P135" i="1"/>
  <c r="P66" i="1"/>
  <c r="P175" i="1"/>
  <c r="P13" i="1"/>
  <c r="P192" i="1"/>
  <c r="P200" i="1"/>
  <c r="P5" i="1"/>
  <c r="P65" i="1"/>
  <c r="P3" i="1"/>
  <c r="P82" i="1"/>
  <c r="P180" i="1"/>
  <c r="P85" i="1"/>
  <c r="P160" i="1"/>
  <c r="P122" i="1"/>
  <c r="P24" i="1"/>
  <c r="P72" i="1"/>
  <c r="P86" i="1"/>
  <c r="P153" i="1"/>
  <c r="P25" i="1"/>
  <c r="P84" i="1"/>
  <c r="P173" i="1"/>
  <c r="P16" i="1"/>
  <c r="P191" i="1"/>
  <c r="P68" i="1"/>
  <c r="P33" i="1"/>
  <c r="P40" i="1"/>
  <c r="P222" i="1"/>
  <c r="P211" i="1"/>
  <c r="P168" i="1"/>
  <c r="P28" i="1"/>
  <c r="P199" i="1"/>
  <c r="P15" i="1"/>
  <c r="P31" i="1"/>
  <c r="P105" i="1"/>
  <c r="P110" i="1"/>
  <c r="P219" i="1"/>
  <c r="P34" i="1"/>
  <c r="P83" i="1"/>
  <c r="P80" i="1"/>
  <c r="P228" i="1"/>
  <c r="P159" i="1"/>
  <c r="P188" i="1"/>
  <c r="P17" i="1"/>
  <c r="P172" i="1"/>
  <c r="P46" i="1"/>
  <c r="P149" i="1"/>
  <c r="P97" i="1"/>
  <c r="P151" i="1"/>
  <c r="P39" i="1"/>
  <c r="P132" i="1"/>
  <c r="P38" i="1"/>
  <c r="P171" i="1"/>
  <c r="P124" i="1"/>
  <c r="P208" i="1"/>
  <c r="P158" i="1"/>
  <c r="P145" i="1"/>
  <c r="P106" i="1"/>
  <c r="P111" i="1"/>
  <c r="P207" i="1"/>
  <c r="P98" i="1"/>
  <c r="P137" i="1"/>
  <c r="P116" i="1"/>
  <c r="P181" i="1"/>
  <c r="P182" i="1"/>
  <c r="P214" i="1"/>
  <c r="P126" i="1"/>
  <c r="P112" i="1"/>
  <c r="P75" i="1"/>
  <c r="P62" i="1"/>
  <c r="P44" i="1"/>
  <c r="P178" i="1"/>
  <c r="P71" i="1"/>
  <c r="P165" i="1"/>
  <c r="P164" i="1"/>
  <c r="P45" i="1"/>
  <c r="P32" i="1"/>
  <c r="P202" i="1"/>
  <c r="P100" i="1"/>
  <c r="P36" i="1"/>
  <c r="P102" i="1"/>
  <c r="P123" i="1"/>
  <c r="P223" i="1"/>
  <c r="P78" i="1"/>
  <c r="P226" i="1"/>
  <c r="P10" i="1"/>
  <c r="P52" i="1"/>
  <c r="P89" i="1"/>
  <c r="P50" i="1"/>
  <c r="P140" i="1"/>
  <c r="P193" i="1"/>
  <c r="P107" i="1"/>
  <c r="P113" i="1"/>
  <c r="P51" i="1"/>
  <c r="P215" i="1"/>
  <c r="P19" i="1"/>
  <c r="P218" i="1"/>
  <c r="O9" i="1"/>
  <c r="O76" i="1"/>
  <c r="O187" i="1"/>
  <c r="O141" i="1"/>
  <c r="O221" i="1"/>
  <c r="O60" i="1"/>
  <c r="O26" i="1"/>
  <c r="O115" i="1"/>
  <c r="O217" i="1"/>
  <c r="O27" i="1"/>
  <c r="O186" i="1"/>
  <c r="O93" i="1"/>
  <c r="O54" i="1"/>
  <c r="O138" i="1"/>
  <c r="O146" i="1"/>
  <c r="O101" i="1"/>
  <c r="O22" i="1"/>
  <c r="O229" i="1"/>
  <c r="O88" i="1"/>
  <c r="O35" i="1"/>
  <c r="O18" i="1"/>
  <c r="O48" i="1"/>
  <c r="O47" i="1"/>
  <c r="O30" i="1"/>
  <c r="O190" i="1"/>
  <c r="O69" i="1"/>
  <c r="O121" i="1"/>
  <c r="O227" i="1"/>
  <c r="O95" i="1"/>
  <c r="O7" i="1"/>
  <c r="O206" i="1"/>
  <c r="O179" i="1"/>
  <c r="O67" i="1"/>
  <c r="O152" i="1"/>
  <c r="O196" i="1"/>
  <c r="O136" i="1"/>
  <c r="O183" i="1"/>
  <c r="O205" i="1"/>
  <c r="O23" i="1"/>
  <c r="O184" i="1"/>
  <c r="O185" i="1"/>
  <c r="O20" i="1"/>
  <c r="O210" i="1"/>
  <c r="O167" i="1"/>
  <c r="O70" i="1"/>
  <c r="O161" i="1"/>
  <c r="O59" i="1"/>
  <c r="O41" i="1"/>
  <c r="O11" i="1"/>
  <c r="O170" i="1"/>
  <c r="O104" i="1"/>
  <c r="O147" i="1"/>
  <c r="O57" i="1"/>
  <c r="O81" i="1"/>
  <c r="O209" i="1"/>
  <c r="O61" i="1"/>
  <c r="O194" i="1"/>
  <c r="O6" i="1"/>
  <c r="O198" i="1"/>
  <c r="O163" i="1"/>
  <c r="O79" i="1"/>
  <c r="O224" i="1"/>
  <c r="O63" i="1"/>
  <c r="O154" i="1"/>
  <c r="O174" i="1"/>
  <c r="O201" i="1"/>
  <c r="O225" i="1"/>
  <c r="O8" i="1"/>
  <c r="O189" i="1"/>
  <c r="O90" i="1"/>
  <c r="O73" i="1"/>
  <c r="O55" i="1"/>
  <c r="O58" i="1"/>
  <c r="O114" i="1"/>
  <c r="O155" i="1"/>
  <c r="O77" i="1"/>
  <c r="O156" i="1"/>
  <c r="O87" i="1"/>
  <c r="O216" i="1"/>
  <c r="O142" i="1"/>
  <c r="O125" i="1"/>
  <c r="O53" i="1"/>
  <c r="O220" i="1"/>
  <c r="O43" i="1"/>
  <c r="O94" i="1"/>
  <c r="O74" i="1"/>
  <c r="O56" i="1"/>
  <c r="O131" i="1"/>
  <c r="O14" i="1"/>
  <c r="O4" i="1"/>
  <c r="O91" i="1"/>
  <c r="O143" i="1"/>
  <c r="O166" i="1"/>
  <c r="O99" i="1"/>
  <c r="O64" i="1"/>
  <c r="O169" i="1"/>
  <c r="O92" i="1"/>
  <c r="O150" i="1"/>
  <c r="O129" i="1"/>
  <c r="O103" i="1"/>
  <c r="O148" i="1"/>
  <c r="O49" i="1"/>
  <c r="O118" i="1"/>
  <c r="O212" i="1"/>
  <c r="O21" i="1"/>
  <c r="O197" i="1"/>
  <c r="O109" i="1"/>
  <c r="O177" i="1"/>
  <c r="O12" i="1"/>
  <c r="O2" i="1"/>
  <c r="O37" i="1"/>
  <c r="O128" i="1"/>
  <c r="O120" i="1"/>
  <c r="O130" i="1"/>
  <c r="O204" i="1"/>
  <c r="O133" i="1"/>
  <c r="O108" i="1"/>
  <c r="O117" i="1"/>
  <c r="O96" i="1"/>
  <c r="O176" i="1"/>
  <c r="O29" i="1"/>
  <c r="O144" i="1"/>
  <c r="O119" i="1"/>
  <c r="O42" i="1"/>
  <c r="O203" i="1"/>
  <c r="O157" i="1"/>
  <c r="O134" i="1"/>
  <c r="O213" i="1"/>
  <c r="O127" i="1"/>
  <c r="O139" i="1"/>
  <c r="O195" i="1"/>
  <c r="O162" i="1"/>
  <c r="O135" i="1"/>
  <c r="O66" i="1"/>
  <c r="O175" i="1"/>
  <c r="O13" i="1"/>
  <c r="O192" i="1"/>
  <c r="O200" i="1"/>
  <c r="O5" i="1"/>
  <c r="O65" i="1"/>
  <c r="O3" i="1"/>
  <c r="O82" i="1"/>
  <c r="O180" i="1"/>
  <c r="O85" i="1"/>
  <c r="O160" i="1"/>
  <c r="O122" i="1"/>
  <c r="O24" i="1"/>
  <c r="O72" i="1"/>
  <c r="O86" i="1"/>
  <c r="O153" i="1"/>
  <c r="O25" i="1"/>
  <c r="O84" i="1"/>
  <c r="O173" i="1"/>
  <c r="O16" i="1"/>
  <c r="O191" i="1"/>
  <c r="O68" i="1"/>
  <c r="O33" i="1"/>
  <c r="O40" i="1"/>
  <c r="O222" i="1"/>
  <c r="O211" i="1"/>
  <c r="O168" i="1"/>
  <c r="O28" i="1"/>
  <c r="O199" i="1"/>
  <c r="O15" i="1"/>
  <c r="O31" i="1"/>
  <c r="O105" i="1"/>
  <c r="O110" i="1"/>
  <c r="O219" i="1"/>
  <c r="O34" i="1"/>
  <c r="O83" i="1"/>
  <c r="O80" i="1"/>
  <c r="O228" i="1"/>
  <c r="O159" i="1"/>
  <c r="O188" i="1"/>
  <c r="O17" i="1"/>
  <c r="O172" i="1"/>
  <c r="O46" i="1"/>
  <c r="O149" i="1"/>
  <c r="O97" i="1"/>
  <c r="O151" i="1"/>
  <c r="O39" i="1"/>
  <c r="O132" i="1"/>
  <c r="O38" i="1"/>
  <c r="O171" i="1"/>
  <c r="O124" i="1"/>
  <c r="O208" i="1"/>
  <c r="O158" i="1"/>
  <c r="O145" i="1"/>
  <c r="O106" i="1"/>
  <c r="O111" i="1"/>
  <c r="O207" i="1"/>
  <c r="O98" i="1"/>
  <c r="O137" i="1"/>
  <c r="O116" i="1"/>
  <c r="O181" i="1"/>
  <c r="O182" i="1"/>
  <c r="O214" i="1"/>
  <c r="O126" i="1"/>
  <c r="O112" i="1"/>
  <c r="O75" i="1"/>
  <c r="O62" i="1"/>
  <c r="O44" i="1"/>
  <c r="O178" i="1"/>
  <c r="O71" i="1"/>
  <c r="O165" i="1"/>
  <c r="O164" i="1"/>
  <c r="O45" i="1"/>
  <c r="O32" i="1"/>
  <c r="O202" i="1"/>
  <c r="O100" i="1"/>
  <c r="O36" i="1"/>
  <c r="O102" i="1"/>
  <c r="O123" i="1"/>
  <c r="O223" i="1"/>
  <c r="O78" i="1"/>
  <c r="O226" i="1"/>
  <c r="O10" i="1"/>
  <c r="O52" i="1"/>
  <c r="O89" i="1"/>
  <c r="O50" i="1"/>
  <c r="O140" i="1"/>
  <c r="O193" i="1"/>
  <c r="O107" i="1"/>
  <c r="O113" i="1"/>
  <c r="O51" i="1"/>
  <c r="O215" i="1"/>
  <c r="O19" i="1"/>
  <c r="O218" i="1"/>
  <c r="N9" i="1"/>
  <c r="N76" i="1"/>
  <c r="N187" i="1"/>
  <c r="N141" i="1"/>
  <c r="N221" i="1"/>
  <c r="N60" i="1"/>
  <c r="N26" i="1"/>
  <c r="N115" i="1"/>
  <c r="N217" i="1"/>
  <c r="N27" i="1"/>
  <c r="N186" i="1"/>
  <c r="N93" i="1"/>
  <c r="N54" i="1"/>
  <c r="N138" i="1"/>
  <c r="N146" i="1"/>
  <c r="N101" i="1"/>
  <c r="N22" i="1"/>
  <c r="N229" i="1"/>
  <c r="N88" i="1"/>
  <c r="N35" i="1"/>
  <c r="N18" i="1"/>
  <c r="N48" i="1"/>
  <c r="N47" i="1"/>
  <c r="N30" i="1"/>
  <c r="N190" i="1"/>
  <c r="N69" i="1"/>
  <c r="N121" i="1"/>
  <c r="N227" i="1"/>
  <c r="N95" i="1"/>
  <c r="N7" i="1"/>
  <c r="N206" i="1"/>
  <c r="N179" i="1"/>
  <c r="N67" i="1"/>
  <c r="N152" i="1"/>
  <c r="N196" i="1"/>
  <c r="N136" i="1"/>
  <c r="N183" i="1"/>
  <c r="N205" i="1"/>
  <c r="N23" i="1"/>
  <c r="N184" i="1"/>
  <c r="N185" i="1"/>
  <c r="N20" i="1"/>
  <c r="N210" i="1"/>
  <c r="N167" i="1"/>
  <c r="N70" i="1"/>
  <c r="N161" i="1"/>
  <c r="N59" i="1"/>
  <c r="N41" i="1"/>
  <c r="N11" i="1"/>
  <c r="N170" i="1"/>
  <c r="N104" i="1"/>
  <c r="N147" i="1"/>
  <c r="N57" i="1"/>
  <c r="N81" i="1"/>
  <c r="N209" i="1"/>
  <c r="N61" i="1"/>
  <c r="N194" i="1"/>
  <c r="N6" i="1"/>
  <c r="N198" i="1"/>
  <c r="N163" i="1"/>
  <c r="N79" i="1"/>
  <c r="N224" i="1"/>
  <c r="N63" i="1"/>
  <c r="N154" i="1"/>
  <c r="N174" i="1"/>
  <c r="N201" i="1"/>
  <c r="N225" i="1"/>
  <c r="N8" i="1"/>
  <c r="N189" i="1"/>
  <c r="N90" i="1"/>
  <c r="N73" i="1"/>
  <c r="N55" i="1"/>
  <c r="N58" i="1"/>
  <c r="N114" i="1"/>
  <c r="N155" i="1"/>
  <c r="N77" i="1"/>
  <c r="N156" i="1"/>
  <c r="N87" i="1"/>
  <c r="N216" i="1"/>
  <c r="N142" i="1"/>
  <c r="N125" i="1"/>
  <c r="N53" i="1"/>
  <c r="N220" i="1"/>
  <c r="N43" i="1"/>
  <c r="N94" i="1"/>
  <c r="N74" i="1"/>
  <c r="N56" i="1"/>
  <c r="N131" i="1"/>
  <c r="N14" i="1"/>
  <c r="N4" i="1"/>
  <c r="N91" i="1"/>
  <c r="N143" i="1"/>
  <c r="N166" i="1"/>
  <c r="N99" i="1"/>
  <c r="N64" i="1"/>
  <c r="N169" i="1"/>
  <c r="N92" i="1"/>
  <c r="N150" i="1"/>
  <c r="N129" i="1"/>
  <c r="N103" i="1"/>
  <c r="N148" i="1"/>
  <c r="N49" i="1"/>
  <c r="N118" i="1"/>
  <c r="N212" i="1"/>
  <c r="N21" i="1"/>
  <c r="N197" i="1"/>
  <c r="N109" i="1"/>
  <c r="N177" i="1"/>
  <c r="N12" i="1"/>
  <c r="N2" i="1"/>
  <c r="N37" i="1"/>
  <c r="N128" i="1"/>
  <c r="N120" i="1"/>
  <c r="N130" i="1"/>
  <c r="N204" i="1"/>
  <c r="N133" i="1"/>
  <c r="N108" i="1"/>
  <c r="N117" i="1"/>
  <c r="N96" i="1"/>
  <c r="N176" i="1"/>
  <c r="N29" i="1"/>
  <c r="N144" i="1"/>
  <c r="N119" i="1"/>
  <c r="N42" i="1"/>
  <c r="N203" i="1"/>
  <c r="N157" i="1"/>
  <c r="N134" i="1"/>
  <c r="N213" i="1"/>
  <c r="N127" i="1"/>
  <c r="N139" i="1"/>
  <c r="N195" i="1"/>
  <c r="N162" i="1"/>
  <c r="N135" i="1"/>
  <c r="N66" i="1"/>
  <c r="N175" i="1"/>
  <c r="N13" i="1"/>
  <c r="N192" i="1"/>
  <c r="N200" i="1"/>
  <c r="N5" i="1"/>
  <c r="N65" i="1"/>
  <c r="N3" i="1"/>
  <c r="N82" i="1"/>
  <c r="N180" i="1"/>
  <c r="N85" i="1"/>
  <c r="N160" i="1"/>
  <c r="N122" i="1"/>
  <c r="N24" i="1"/>
  <c r="N72" i="1"/>
  <c r="N86" i="1"/>
  <c r="N153" i="1"/>
  <c r="N25" i="1"/>
  <c r="N84" i="1"/>
  <c r="N173" i="1"/>
  <c r="N16" i="1"/>
  <c r="N191" i="1"/>
  <c r="N68" i="1"/>
  <c r="N33" i="1"/>
  <c r="N40" i="1"/>
  <c r="N222" i="1"/>
  <c r="N211" i="1"/>
  <c r="N168" i="1"/>
  <c r="N28" i="1"/>
  <c r="N199" i="1"/>
  <c r="N15" i="1"/>
  <c r="N31" i="1"/>
  <c r="N105" i="1"/>
  <c r="N110" i="1"/>
  <c r="N219" i="1"/>
  <c r="N34" i="1"/>
  <c r="N83" i="1"/>
  <c r="N80" i="1"/>
  <c r="N228" i="1"/>
  <c r="N159" i="1"/>
  <c r="N188" i="1"/>
  <c r="N17" i="1"/>
  <c r="N172" i="1"/>
  <c r="N46" i="1"/>
  <c r="N149" i="1"/>
  <c r="N97" i="1"/>
  <c r="N151" i="1"/>
  <c r="N39" i="1"/>
  <c r="N132" i="1"/>
  <c r="N38" i="1"/>
  <c r="N171" i="1"/>
  <c r="N124" i="1"/>
  <c r="N208" i="1"/>
  <c r="N158" i="1"/>
  <c r="N145" i="1"/>
  <c r="N106" i="1"/>
  <c r="N111" i="1"/>
  <c r="N207" i="1"/>
  <c r="N98" i="1"/>
  <c r="N137" i="1"/>
  <c r="N116" i="1"/>
  <c r="N181" i="1"/>
  <c r="N182" i="1"/>
  <c r="N214" i="1"/>
  <c r="N126" i="1"/>
  <c r="N112" i="1"/>
  <c r="N75" i="1"/>
  <c r="N62" i="1"/>
  <c r="N44" i="1"/>
  <c r="N178" i="1"/>
  <c r="N71" i="1"/>
  <c r="N165" i="1"/>
  <c r="N164" i="1"/>
  <c r="N45" i="1"/>
  <c r="N32" i="1"/>
  <c r="N202" i="1"/>
  <c r="N100" i="1"/>
  <c r="N36" i="1"/>
  <c r="N102" i="1"/>
  <c r="N123" i="1"/>
  <c r="N223" i="1"/>
  <c r="N78" i="1"/>
  <c r="N226" i="1"/>
  <c r="N10" i="1"/>
  <c r="N52" i="1"/>
  <c r="N89" i="1"/>
  <c r="N50" i="1"/>
  <c r="N140" i="1"/>
  <c r="N193" i="1"/>
  <c r="N107" i="1"/>
  <c r="N113" i="1"/>
  <c r="N51" i="1"/>
  <c r="N215" i="1"/>
  <c r="N19" i="1"/>
  <c r="N218" i="1"/>
  <c r="M9" i="1"/>
  <c r="M76" i="1"/>
  <c r="M187" i="1"/>
  <c r="M141" i="1"/>
  <c r="M221" i="1"/>
  <c r="D221" i="1" s="1"/>
  <c r="M60" i="1"/>
  <c r="D60" i="1" s="1"/>
  <c r="M26" i="1"/>
  <c r="D26" i="1" s="1"/>
  <c r="M115" i="1"/>
  <c r="D115" i="1" s="1"/>
  <c r="M217" i="1"/>
  <c r="D217" i="1" s="1"/>
  <c r="AD217" i="1" s="1"/>
  <c r="M27" i="1"/>
  <c r="D27" i="1" s="1"/>
  <c r="AD27" i="1" s="1"/>
  <c r="M186" i="1"/>
  <c r="D186" i="1" s="1"/>
  <c r="AD186" i="1" s="1"/>
  <c r="M93" i="1"/>
  <c r="D93" i="1" s="1"/>
  <c r="AD93" i="1" s="1"/>
  <c r="M54" i="1"/>
  <c r="D54" i="1" s="1"/>
  <c r="M138" i="1"/>
  <c r="D138" i="1" s="1"/>
  <c r="AD138" i="1" s="1"/>
  <c r="M146" i="1"/>
  <c r="D146" i="1" s="1"/>
  <c r="M101" i="1"/>
  <c r="M22" i="1"/>
  <c r="M229" i="1"/>
  <c r="M88" i="1"/>
  <c r="M35" i="1"/>
  <c r="M18" i="1"/>
  <c r="M48" i="1"/>
  <c r="M47" i="1"/>
  <c r="M30" i="1"/>
  <c r="M190" i="1"/>
  <c r="M69" i="1"/>
  <c r="M121" i="1"/>
  <c r="M227" i="1"/>
  <c r="M95" i="1"/>
  <c r="D95" i="1" s="1"/>
  <c r="M7" i="1"/>
  <c r="D7" i="1" s="1"/>
  <c r="M206" i="1"/>
  <c r="D206" i="1" s="1"/>
  <c r="M179" i="1"/>
  <c r="D179" i="1" s="1"/>
  <c r="AD179" i="1" s="1"/>
  <c r="M67" i="1"/>
  <c r="D67" i="1" s="1"/>
  <c r="M152" i="1"/>
  <c r="D152" i="1" s="1"/>
  <c r="AD152" i="1" s="1"/>
  <c r="M196" i="1"/>
  <c r="D196" i="1" s="1"/>
  <c r="AD196" i="1" s="1"/>
  <c r="M136" i="1"/>
  <c r="D136" i="1" s="1"/>
  <c r="AD136" i="1" s="1"/>
  <c r="M183" i="1"/>
  <c r="D183" i="1" s="1"/>
  <c r="AD183" i="1" s="1"/>
  <c r="M205" i="1"/>
  <c r="D205" i="1" s="1"/>
  <c r="AD205" i="1" s="1"/>
  <c r="M23" i="1"/>
  <c r="D23" i="1" s="1"/>
  <c r="AD23" i="1" s="1"/>
  <c r="M184" i="1"/>
  <c r="M185" i="1"/>
  <c r="M20" i="1"/>
  <c r="M210" i="1"/>
  <c r="M167" i="1"/>
  <c r="M70" i="1"/>
  <c r="M161" i="1"/>
  <c r="M59" i="1"/>
  <c r="M41" i="1"/>
  <c r="M11" i="1"/>
  <c r="M170" i="1"/>
  <c r="M104" i="1"/>
  <c r="M147" i="1"/>
  <c r="M57" i="1"/>
  <c r="D57" i="1" s="1"/>
  <c r="M81" i="1"/>
  <c r="D81" i="1" s="1"/>
  <c r="M209" i="1"/>
  <c r="D209" i="1" s="1"/>
  <c r="M61" i="1"/>
  <c r="D61" i="1" s="1"/>
  <c r="AD61" i="1" s="1"/>
  <c r="M194" i="1"/>
  <c r="D194" i="1" s="1"/>
  <c r="AD194" i="1" s="1"/>
  <c r="M6" i="1"/>
  <c r="D6" i="1" s="1"/>
  <c r="AD6" i="1" s="1"/>
  <c r="M198" i="1"/>
  <c r="D198" i="1" s="1"/>
  <c r="AD198" i="1" s="1"/>
  <c r="M163" i="1"/>
  <c r="D163" i="1" s="1"/>
  <c r="AD163" i="1" s="1"/>
  <c r="M79" i="1"/>
  <c r="D79" i="1" s="1"/>
  <c r="AD79" i="1" s="1"/>
  <c r="M224" i="1"/>
  <c r="D224" i="1" s="1"/>
  <c r="M63" i="1"/>
  <c r="D63" i="1" s="1"/>
  <c r="AD63" i="1" s="1"/>
  <c r="M154" i="1"/>
  <c r="M174" i="1"/>
  <c r="M201" i="1"/>
  <c r="M225" i="1"/>
  <c r="M8" i="1"/>
  <c r="M189" i="1"/>
  <c r="M90" i="1"/>
  <c r="M73" i="1"/>
  <c r="M55" i="1"/>
  <c r="M58" i="1"/>
  <c r="M114" i="1"/>
  <c r="M155" i="1"/>
  <c r="M77" i="1"/>
  <c r="M156" i="1"/>
  <c r="D156" i="1" s="1"/>
  <c r="M87" i="1"/>
  <c r="D87" i="1" s="1"/>
  <c r="M216" i="1"/>
  <c r="D216" i="1" s="1"/>
  <c r="M142" i="1"/>
  <c r="D142" i="1" s="1"/>
  <c r="M125" i="1"/>
  <c r="D125" i="1" s="1"/>
  <c r="AD125" i="1" s="1"/>
  <c r="M53" i="1"/>
  <c r="D53" i="1" s="1"/>
  <c r="AD53" i="1" s="1"/>
  <c r="M220" i="1"/>
  <c r="D220" i="1" s="1"/>
  <c r="AD220" i="1" s="1"/>
  <c r="M43" i="1"/>
  <c r="D43" i="1" s="1"/>
  <c r="M94" i="1"/>
  <c r="D94" i="1" s="1"/>
  <c r="AD94" i="1" s="1"/>
  <c r="M74" i="1"/>
  <c r="D74" i="1" s="1"/>
  <c r="AD74" i="1" s="1"/>
  <c r="M56" i="1"/>
  <c r="D56" i="1" s="1"/>
  <c r="AD56" i="1" s="1"/>
  <c r="M131" i="1"/>
  <c r="M14" i="1"/>
  <c r="M4" i="1"/>
  <c r="M91" i="1"/>
  <c r="M143" i="1"/>
  <c r="M166" i="1"/>
  <c r="M99" i="1"/>
  <c r="M64" i="1"/>
  <c r="M169" i="1"/>
  <c r="M92" i="1"/>
  <c r="M150" i="1"/>
  <c r="M129" i="1"/>
  <c r="M103" i="1"/>
  <c r="M148" i="1"/>
  <c r="D148" i="1" s="1"/>
  <c r="M49" i="1"/>
  <c r="D49" i="1" s="1"/>
  <c r="M118" i="1"/>
  <c r="D118" i="1" s="1"/>
  <c r="M212" i="1"/>
  <c r="D212" i="1" s="1"/>
  <c r="AD212" i="1" s="1"/>
  <c r="M21" i="1"/>
  <c r="D21" i="1" s="1"/>
  <c r="AD21" i="1" s="1"/>
  <c r="M197" i="1"/>
  <c r="D197" i="1" s="1"/>
  <c r="AD197" i="1" s="1"/>
  <c r="M109" i="1"/>
  <c r="D109" i="1" s="1"/>
  <c r="AD109" i="1" s="1"/>
  <c r="M177" i="1"/>
  <c r="D177" i="1" s="1"/>
  <c r="AD177" i="1" s="1"/>
  <c r="M12" i="1"/>
  <c r="D12" i="1" s="1"/>
  <c r="AD12" i="1" s="1"/>
  <c r="M2" i="1"/>
  <c r="D2" i="1" s="1"/>
  <c r="AD2" i="1" s="1"/>
  <c r="M37" i="1"/>
  <c r="D37" i="1" s="1"/>
  <c r="AD37" i="1" s="1"/>
  <c r="M128" i="1"/>
  <c r="M120" i="1"/>
  <c r="M130" i="1"/>
  <c r="M204" i="1"/>
  <c r="M133" i="1"/>
  <c r="M108" i="1"/>
  <c r="M117" i="1"/>
  <c r="M96" i="1"/>
  <c r="M176" i="1"/>
  <c r="M29" i="1"/>
  <c r="M144" i="1"/>
  <c r="M119" i="1"/>
  <c r="M42" i="1"/>
  <c r="M203" i="1"/>
  <c r="D203" i="1" s="1"/>
  <c r="M157" i="1"/>
  <c r="D157" i="1" s="1"/>
  <c r="M134" i="1"/>
  <c r="D134" i="1" s="1"/>
  <c r="M213" i="1"/>
  <c r="D213" i="1" s="1"/>
  <c r="AD213" i="1" s="1"/>
  <c r="M127" i="1"/>
  <c r="D127" i="1" s="1"/>
  <c r="AD127" i="1" s="1"/>
  <c r="M139" i="1"/>
  <c r="D139" i="1" s="1"/>
  <c r="AD139" i="1" s="1"/>
  <c r="M195" i="1"/>
  <c r="D195" i="1" s="1"/>
  <c r="AD195" i="1" s="1"/>
  <c r="M162" i="1"/>
  <c r="D162" i="1" s="1"/>
  <c r="AD162" i="1" s="1"/>
  <c r="M135" i="1"/>
  <c r="D135" i="1" s="1"/>
  <c r="AD135" i="1" s="1"/>
  <c r="M66" i="1"/>
  <c r="D66" i="1" s="1"/>
  <c r="AD66" i="1" s="1"/>
  <c r="M175" i="1"/>
  <c r="D175" i="1" s="1"/>
  <c r="AD175" i="1" s="1"/>
  <c r="M13" i="1"/>
  <c r="M192" i="1"/>
  <c r="M200" i="1"/>
  <c r="M5" i="1"/>
  <c r="M65" i="1"/>
  <c r="M3" i="1"/>
  <c r="M82" i="1"/>
  <c r="M180" i="1"/>
  <c r="M85" i="1"/>
  <c r="M160" i="1"/>
  <c r="M122" i="1"/>
  <c r="M24" i="1"/>
  <c r="M72" i="1"/>
  <c r="M86" i="1"/>
  <c r="D86" i="1" s="1"/>
  <c r="M153" i="1"/>
  <c r="D153" i="1" s="1"/>
  <c r="M25" i="1"/>
  <c r="D25" i="1" s="1"/>
  <c r="M84" i="1"/>
  <c r="D84" i="1" s="1"/>
  <c r="AD84" i="1" s="1"/>
  <c r="M173" i="1"/>
  <c r="D173" i="1" s="1"/>
  <c r="AD173" i="1" s="1"/>
  <c r="M16" i="1"/>
  <c r="D16" i="1" s="1"/>
  <c r="AD16" i="1" s="1"/>
  <c r="M191" i="1"/>
  <c r="D191" i="1" s="1"/>
  <c r="AD191" i="1" s="1"/>
  <c r="M68" i="1"/>
  <c r="D68" i="1" s="1"/>
  <c r="AD68" i="1" s="1"/>
  <c r="M33" i="1"/>
  <c r="D33" i="1" s="1"/>
  <c r="AD33" i="1" s="1"/>
  <c r="M40" i="1"/>
  <c r="D40" i="1" s="1"/>
  <c r="AD40" i="1" s="1"/>
  <c r="M222" i="1"/>
  <c r="D222" i="1" s="1"/>
  <c r="AD222" i="1" s="1"/>
  <c r="M211" i="1"/>
  <c r="M168" i="1"/>
  <c r="M28" i="1"/>
  <c r="M199" i="1"/>
  <c r="M15" i="1"/>
  <c r="M31" i="1"/>
  <c r="M105" i="1"/>
  <c r="M110" i="1"/>
  <c r="M219" i="1"/>
  <c r="M34" i="1"/>
  <c r="M83" i="1"/>
  <c r="M80" i="1"/>
  <c r="M228" i="1"/>
  <c r="M159" i="1"/>
  <c r="D159" i="1" s="1"/>
  <c r="M188" i="1"/>
  <c r="D188" i="1" s="1"/>
  <c r="AD188" i="1" s="1"/>
  <c r="M17" i="1"/>
  <c r="D17" i="1" s="1"/>
  <c r="M172" i="1"/>
  <c r="D172" i="1" s="1"/>
  <c r="AD172" i="1" s="1"/>
  <c r="M46" i="1"/>
  <c r="D46" i="1" s="1"/>
  <c r="AD46" i="1" s="1"/>
  <c r="M149" i="1"/>
  <c r="D149" i="1" s="1"/>
  <c r="AD149" i="1" s="1"/>
  <c r="M97" i="1"/>
  <c r="D97" i="1" s="1"/>
  <c r="M151" i="1"/>
  <c r="D151" i="1" s="1"/>
  <c r="AD151" i="1" s="1"/>
  <c r="M39" i="1"/>
  <c r="D39" i="1" s="1"/>
  <c r="AD39" i="1" s="1"/>
  <c r="M132" i="1"/>
  <c r="D132" i="1" s="1"/>
  <c r="AD132" i="1" s="1"/>
  <c r="M38" i="1"/>
  <c r="D38" i="1" s="1"/>
  <c r="AD38" i="1" s="1"/>
  <c r="M171" i="1"/>
  <c r="M124" i="1"/>
  <c r="M208" i="1"/>
  <c r="M158" i="1"/>
  <c r="M145" i="1"/>
  <c r="M106" i="1"/>
  <c r="M111" i="1"/>
  <c r="M207" i="1"/>
  <c r="M98" i="1"/>
  <c r="M137" i="1"/>
  <c r="M116" i="1"/>
  <c r="M181" i="1"/>
  <c r="M182" i="1"/>
  <c r="M214" i="1"/>
  <c r="D214" i="1" s="1"/>
  <c r="M126" i="1"/>
  <c r="D126" i="1" s="1"/>
  <c r="M112" i="1"/>
  <c r="D112" i="1" s="1"/>
  <c r="M75" i="1"/>
  <c r="D75" i="1" s="1"/>
  <c r="M62" i="1"/>
  <c r="D62" i="1" s="1"/>
  <c r="AD62" i="1" s="1"/>
  <c r="M44" i="1"/>
  <c r="D44" i="1" s="1"/>
  <c r="AD44" i="1" s="1"/>
  <c r="M178" i="1"/>
  <c r="D178" i="1" s="1"/>
  <c r="AD178" i="1" s="1"/>
  <c r="M71" i="1"/>
  <c r="D71" i="1" s="1"/>
  <c r="AD71" i="1" s="1"/>
  <c r="M165" i="1"/>
  <c r="D165" i="1" s="1"/>
  <c r="AD165" i="1" s="1"/>
  <c r="M164" i="1"/>
  <c r="D164" i="1" s="1"/>
  <c r="AD164" i="1" s="1"/>
  <c r="M45" i="1"/>
  <c r="D45" i="1" s="1"/>
  <c r="AD45" i="1" s="1"/>
  <c r="M32" i="1"/>
  <c r="M202" i="1"/>
  <c r="M100" i="1"/>
  <c r="M36" i="1"/>
  <c r="M102" i="1"/>
  <c r="M123" i="1"/>
  <c r="M223" i="1"/>
  <c r="M78" i="1"/>
  <c r="M226" i="1"/>
  <c r="M10" i="1"/>
  <c r="M52" i="1"/>
  <c r="M89" i="1"/>
  <c r="M50" i="1"/>
  <c r="M140" i="1"/>
  <c r="D140" i="1" s="1"/>
  <c r="M193" i="1"/>
  <c r="D193" i="1" s="1"/>
  <c r="M107" i="1"/>
  <c r="D107" i="1" s="1"/>
  <c r="M113" i="1"/>
  <c r="D113" i="1" s="1"/>
  <c r="AD113" i="1" s="1"/>
  <c r="M51" i="1"/>
  <c r="D51" i="1" s="1"/>
  <c r="AD51" i="1" s="1"/>
  <c r="M215" i="1"/>
  <c r="D215" i="1" s="1"/>
  <c r="AD215" i="1" s="1"/>
  <c r="M19" i="1"/>
  <c r="D19" i="1" s="1"/>
  <c r="AD19" i="1" s="1"/>
  <c r="M218" i="1"/>
  <c r="K218" i="1"/>
  <c r="L218" i="1"/>
  <c r="R218" i="1"/>
  <c r="J9" i="1"/>
  <c r="J76" i="1"/>
  <c r="J187" i="1"/>
  <c r="J141" i="1"/>
  <c r="J221" i="1"/>
  <c r="J60" i="1"/>
  <c r="J26" i="1"/>
  <c r="J115" i="1"/>
  <c r="J217" i="1"/>
  <c r="J27" i="1"/>
  <c r="J186" i="1"/>
  <c r="J93" i="1"/>
  <c r="J54" i="1"/>
  <c r="J138" i="1"/>
  <c r="J146" i="1"/>
  <c r="J101" i="1"/>
  <c r="J22" i="1"/>
  <c r="J229" i="1"/>
  <c r="J88" i="1"/>
  <c r="J35" i="1"/>
  <c r="J18" i="1"/>
  <c r="J48" i="1"/>
  <c r="J47" i="1"/>
  <c r="J30" i="1"/>
  <c r="J190" i="1"/>
  <c r="J69" i="1"/>
  <c r="J121" i="1"/>
  <c r="J227" i="1"/>
  <c r="J95" i="1"/>
  <c r="J7" i="1"/>
  <c r="J206" i="1"/>
  <c r="J179" i="1"/>
  <c r="J67" i="1"/>
  <c r="J152" i="1"/>
  <c r="J196" i="1"/>
  <c r="J136" i="1"/>
  <c r="J183" i="1"/>
  <c r="J205" i="1"/>
  <c r="J23" i="1"/>
  <c r="J184" i="1"/>
  <c r="J185" i="1"/>
  <c r="J20" i="1"/>
  <c r="J210" i="1"/>
  <c r="J167" i="1"/>
  <c r="J70" i="1"/>
  <c r="J161" i="1"/>
  <c r="J59" i="1"/>
  <c r="J41" i="1"/>
  <c r="J11" i="1"/>
  <c r="J170" i="1"/>
  <c r="J104" i="1"/>
  <c r="J147" i="1"/>
  <c r="J57" i="1"/>
  <c r="J81" i="1"/>
  <c r="J209" i="1"/>
  <c r="J61" i="1"/>
  <c r="J194" i="1"/>
  <c r="J6" i="1"/>
  <c r="J198" i="1"/>
  <c r="J163" i="1"/>
  <c r="J79" i="1"/>
  <c r="J224" i="1"/>
  <c r="J63" i="1"/>
  <c r="J154" i="1"/>
  <c r="J174" i="1"/>
  <c r="J201" i="1"/>
  <c r="J225" i="1"/>
  <c r="J8" i="1"/>
  <c r="J189" i="1"/>
  <c r="J90" i="1"/>
  <c r="J73" i="1"/>
  <c r="J55" i="1"/>
  <c r="J58" i="1"/>
  <c r="J114" i="1"/>
  <c r="J155" i="1"/>
  <c r="J77" i="1"/>
  <c r="J156" i="1"/>
  <c r="J87" i="1"/>
  <c r="J216" i="1"/>
  <c r="J142" i="1"/>
  <c r="J125" i="1"/>
  <c r="J53" i="1"/>
  <c r="J220" i="1"/>
  <c r="J43" i="1"/>
  <c r="J94" i="1"/>
  <c r="J74" i="1"/>
  <c r="J56" i="1"/>
  <c r="J131" i="1"/>
  <c r="J14" i="1"/>
  <c r="J4" i="1"/>
  <c r="J91" i="1"/>
  <c r="J143" i="1"/>
  <c r="J166" i="1"/>
  <c r="J99" i="1"/>
  <c r="J64" i="1"/>
  <c r="J169" i="1"/>
  <c r="J92" i="1"/>
  <c r="J150" i="1"/>
  <c r="J129" i="1"/>
  <c r="J103" i="1"/>
  <c r="J148" i="1"/>
  <c r="J49" i="1"/>
  <c r="J118" i="1"/>
  <c r="J212" i="1"/>
  <c r="J21" i="1"/>
  <c r="J197" i="1"/>
  <c r="J109" i="1"/>
  <c r="J177" i="1"/>
  <c r="J12" i="1"/>
  <c r="J2" i="1"/>
  <c r="J37" i="1"/>
  <c r="J128" i="1"/>
  <c r="J120" i="1"/>
  <c r="J130" i="1"/>
  <c r="J204" i="1"/>
  <c r="J133" i="1"/>
  <c r="J108" i="1"/>
  <c r="J117" i="1"/>
  <c r="J96" i="1"/>
  <c r="J176" i="1"/>
  <c r="J29" i="1"/>
  <c r="J144" i="1"/>
  <c r="J119" i="1"/>
  <c r="J42" i="1"/>
  <c r="J203" i="1"/>
  <c r="J157" i="1"/>
  <c r="J134" i="1"/>
  <c r="J213" i="1"/>
  <c r="J127" i="1"/>
  <c r="J139" i="1"/>
  <c r="J195" i="1"/>
  <c r="J162" i="1"/>
  <c r="J135" i="1"/>
  <c r="J66" i="1"/>
  <c r="J175" i="1"/>
  <c r="J13" i="1"/>
  <c r="J192" i="1"/>
  <c r="J200" i="1"/>
  <c r="J5" i="1"/>
  <c r="J65" i="1"/>
  <c r="J3" i="1"/>
  <c r="J82" i="1"/>
  <c r="J180" i="1"/>
  <c r="J85" i="1"/>
  <c r="J160" i="1"/>
  <c r="J122" i="1"/>
  <c r="J24" i="1"/>
  <c r="J72" i="1"/>
  <c r="J86" i="1"/>
  <c r="J153" i="1"/>
  <c r="J25" i="1"/>
  <c r="J84" i="1"/>
  <c r="J173" i="1"/>
  <c r="J16" i="1"/>
  <c r="J191" i="1"/>
  <c r="J68" i="1"/>
  <c r="J33" i="1"/>
  <c r="J40" i="1"/>
  <c r="J222" i="1"/>
  <c r="J211" i="1"/>
  <c r="J168" i="1"/>
  <c r="J28" i="1"/>
  <c r="J199" i="1"/>
  <c r="J15" i="1"/>
  <c r="J31" i="1"/>
  <c r="J105" i="1"/>
  <c r="J110" i="1"/>
  <c r="J219" i="1"/>
  <c r="J34" i="1"/>
  <c r="J83" i="1"/>
  <c r="J80" i="1"/>
  <c r="J228" i="1"/>
  <c r="J159" i="1"/>
  <c r="J188" i="1"/>
  <c r="J17" i="1"/>
  <c r="J172" i="1"/>
  <c r="J46" i="1"/>
  <c r="J149" i="1"/>
  <c r="J97" i="1"/>
  <c r="J151" i="1"/>
  <c r="J39" i="1"/>
  <c r="J132" i="1"/>
  <c r="J38" i="1"/>
  <c r="J171" i="1"/>
  <c r="J124" i="1"/>
  <c r="J208" i="1"/>
  <c r="J158" i="1"/>
  <c r="J145" i="1"/>
  <c r="J106" i="1"/>
  <c r="J111" i="1"/>
  <c r="J207" i="1"/>
  <c r="J98" i="1"/>
  <c r="J137" i="1"/>
  <c r="J116" i="1"/>
  <c r="J181" i="1"/>
  <c r="J182" i="1"/>
  <c r="J214" i="1"/>
  <c r="J126" i="1"/>
  <c r="J112" i="1"/>
  <c r="J75" i="1"/>
  <c r="J62" i="1"/>
  <c r="J44" i="1"/>
  <c r="J178" i="1"/>
  <c r="J71" i="1"/>
  <c r="J165" i="1"/>
  <c r="J164" i="1"/>
  <c r="J45" i="1"/>
  <c r="J32" i="1"/>
  <c r="J202" i="1"/>
  <c r="J100" i="1"/>
  <c r="J36" i="1"/>
  <c r="J102" i="1"/>
  <c r="J123" i="1"/>
  <c r="J223" i="1"/>
  <c r="J78" i="1"/>
  <c r="J226" i="1"/>
  <c r="J10" i="1"/>
  <c r="J52" i="1"/>
  <c r="J89" i="1"/>
  <c r="J50" i="1"/>
  <c r="J140" i="1"/>
  <c r="J193" i="1"/>
  <c r="J107" i="1"/>
  <c r="J113" i="1"/>
  <c r="J51" i="1"/>
  <c r="J215" i="1"/>
  <c r="J19" i="1"/>
  <c r="AD75" i="1" l="1"/>
  <c r="AD224" i="1"/>
  <c r="F224" i="1" s="1"/>
  <c r="AD95" i="1"/>
  <c r="D32" i="1"/>
  <c r="AD32" i="1" s="1"/>
  <c r="H32" i="1" s="1"/>
  <c r="D171" i="1"/>
  <c r="AD171" i="1" s="1"/>
  <c r="D211" i="1"/>
  <c r="AD211" i="1" s="1"/>
  <c r="D13" i="1"/>
  <c r="AD13" i="1" s="1"/>
  <c r="D128" i="1"/>
  <c r="AD128" i="1" s="1"/>
  <c r="D154" i="1"/>
  <c r="AD154" i="1" s="1"/>
  <c r="D184" i="1"/>
  <c r="D101" i="1"/>
  <c r="AD101" i="1" s="1"/>
  <c r="AD184" i="1"/>
  <c r="G184" i="1" s="1"/>
  <c r="AD115" i="1"/>
  <c r="F115" i="1" s="1"/>
  <c r="AD107" i="1"/>
  <c r="I107" i="1" s="1"/>
  <c r="AD134" i="1"/>
  <c r="AD206" i="1"/>
  <c r="AD26" i="1"/>
  <c r="AD112" i="1"/>
  <c r="AD118" i="1"/>
  <c r="AD7" i="1"/>
  <c r="AD43" i="1"/>
  <c r="AD157" i="1"/>
  <c r="AD81" i="1"/>
  <c r="AD140" i="1"/>
  <c r="G140" i="1" s="1"/>
  <c r="AD214" i="1"/>
  <c r="I214" i="1" s="1"/>
  <c r="AD159" i="1"/>
  <c r="I159" i="1" s="1"/>
  <c r="AD86" i="1"/>
  <c r="H86" i="1" s="1"/>
  <c r="AD203" i="1"/>
  <c r="I203" i="1" s="1"/>
  <c r="AD148" i="1"/>
  <c r="G148" i="1" s="1"/>
  <c r="AD156" i="1"/>
  <c r="F156" i="1" s="1"/>
  <c r="AD57" i="1"/>
  <c r="I57" i="1" s="1"/>
  <c r="AD221" i="1"/>
  <c r="H221" i="1" s="1"/>
  <c r="AD25" i="1"/>
  <c r="G25" i="1" s="1"/>
  <c r="AD209" i="1"/>
  <c r="F209" i="1" s="1"/>
  <c r="AD126" i="1"/>
  <c r="G126" i="1" s="1"/>
  <c r="AD87" i="1"/>
  <c r="I87" i="1" s="1"/>
  <c r="D121" i="1"/>
  <c r="AD121" i="1" s="1"/>
  <c r="I121" i="1" s="1"/>
  <c r="D218" i="1"/>
  <c r="AD218" i="1" s="1"/>
  <c r="F218" i="1" s="1"/>
  <c r="AD17" i="1"/>
  <c r="AD216" i="1"/>
  <c r="AD146" i="1"/>
  <c r="AD193" i="1"/>
  <c r="AD153" i="1"/>
  <c r="AD49" i="1"/>
  <c r="AD60" i="1"/>
  <c r="AD54" i="1"/>
  <c r="D50" i="1"/>
  <c r="D228" i="1"/>
  <c r="AD228" i="1" s="1"/>
  <c r="D72" i="1"/>
  <c r="AD72" i="1" s="1"/>
  <c r="I72" i="1" s="1"/>
  <c r="D42" i="1"/>
  <c r="AD42" i="1" s="1"/>
  <c r="H42" i="1" s="1"/>
  <c r="D103" i="1"/>
  <c r="AD103" i="1" s="1"/>
  <c r="F103" i="1" s="1"/>
  <c r="D77" i="1"/>
  <c r="AD77" i="1" s="1"/>
  <c r="F77" i="1" s="1"/>
  <c r="D147" i="1"/>
  <c r="AD147" i="1" s="1"/>
  <c r="G147" i="1" s="1"/>
  <c r="D227" i="1"/>
  <c r="AD227" i="1" s="1"/>
  <c r="G227" i="1" s="1"/>
  <c r="D141" i="1"/>
  <c r="AD141" i="1" s="1"/>
  <c r="D89" i="1"/>
  <c r="AD89" i="1" s="1"/>
  <c r="I89" i="1" s="1"/>
  <c r="D181" i="1"/>
  <c r="AD181" i="1" s="1"/>
  <c r="G181" i="1" s="1"/>
  <c r="D80" i="1"/>
  <c r="AD80" i="1" s="1"/>
  <c r="G80" i="1" s="1"/>
  <c r="D24" i="1"/>
  <c r="AD24" i="1" s="1"/>
  <c r="I24" i="1" s="1"/>
  <c r="D119" i="1"/>
  <c r="AD119" i="1" s="1"/>
  <c r="I119" i="1" s="1"/>
  <c r="D129" i="1"/>
  <c r="AD129" i="1" s="1"/>
  <c r="G129" i="1" s="1"/>
  <c r="D155" i="1"/>
  <c r="AD155" i="1" s="1"/>
  <c r="D104" i="1"/>
  <c r="AD104" i="1" s="1"/>
  <c r="D187" i="1"/>
  <c r="AD187" i="1" s="1"/>
  <c r="AD97" i="1"/>
  <c r="D52" i="1"/>
  <c r="AD52" i="1" s="1"/>
  <c r="H52" i="1" s="1"/>
  <c r="D116" i="1"/>
  <c r="AD116" i="1" s="1"/>
  <c r="G116" i="1" s="1"/>
  <c r="D83" i="1"/>
  <c r="AD83" i="1" s="1"/>
  <c r="G83" i="1" s="1"/>
  <c r="D122" i="1"/>
  <c r="AD122" i="1" s="1"/>
  <c r="H122" i="1" s="1"/>
  <c r="D144" i="1"/>
  <c r="AD144" i="1" s="1"/>
  <c r="I144" i="1" s="1"/>
  <c r="D150" i="1"/>
  <c r="AD150" i="1" s="1"/>
  <c r="I150" i="1" s="1"/>
  <c r="D114" i="1"/>
  <c r="AD114" i="1" s="1"/>
  <c r="H114" i="1" s="1"/>
  <c r="D170" i="1"/>
  <c r="AD170" i="1" s="1"/>
  <c r="H170" i="1" s="1"/>
  <c r="D69" i="1"/>
  <c r="AD69" i="1" s="1"/>
  <c r="G69" i="1" s="1"/>
  <c r="D76" i="1"/>
  <c r="AD76" i="1" s="1"/>
  <c r="H76" i="1" s="1"/>
  <c r="D190" i="1"/>
  <c r="AD190" i="1" s="1"/>
  <c r="I190" i="1" s="1"/>
  <c r="D207" i="1"/>
  <c r="AD207" i="1" s="1"/>
  <c r="H207" i="1" s="1"/>
  <c r="D131" i="1"/>
  <c r="AD131" i="1" s="1"/>
  <c r="D137" i="1"/>
  <c r="AD137" i="1" s="1"/>
  <c r="F137" i="1" s="1"/>
  <c r="D160" i="1"/>
  <c r="AD160" i="1" s="1"/>
  <c r="I160" i="1" s="1"/>
  <c r="D58" i="1"/>
  <c r="AD58" i="1" s="1"/>
  <c r="G58" i="1" s="1"/>
  <c r="D9" i="1"/>
  <c r="AD9" i="1" s="1"/>
  <c r="I9" i="1" s="1"/>
  <c r="D226" i="1"/>
  <c r="AD226" i="1" s="1"/>
  <c r="F226" i="1" s="1"/>
  <c r="D85" i="1"/>
  <c r="AD85" i="1" s="1"/>
  <c r="F85" i="1" s="1"/>
  <c r="D169" i="1"/>
  <c r="AD169" i="1" s="1"/>
  <c r="F169" i="1" s="1"/>
  <c r="D41" i="1"/>
  <c r="AD41" i="1" s="1"/>
  <c r="D30" i="1"/>
  <c r="AD30" i="1" s="1"/>
  <c r="D110" i="1"/>
  <c r="AD110" i="1" s="1"/>
  <c r="D64" i="1"/>
  <c r="AD64" i="1" s="1"/>
  <c r="D111" i="1"/>
  <c r="AD111" i="1" s="1"/>
  <c r="D117" i="1"/>
  <c r="AD117" i="1" s="1"/>
  <c r="D161" i="1"/>
  <c r="AD161" i="1" s="1"/>
  <c r="G161" i="1" s="1"/>
  <c r="D123" i="1"/>
  <c r="AD123" i="1" s="1"/>
  <c r="D3" i="1"/>
  <c r="AD3" i="1" s="1"/>
  <c r="F3" i="1" s="1"/>
  <c r="D166" i="1"/>
  <c r="AD166" i="1" s="1"/>
  <c r="I166" i="1" s="1"/>
  <c r="D189" i="1"/>
  <c r="AD189" i="1" s="1"/>
  <c r="D18" i="1"/>
  <c r="AD18" i="1" s="1"/>
  <c r="I18" i="1" s="1"/>
  <c r="D102" i="1"/>
  <c r="AD102" i="1" s="1"/>
  <c r="I102" i="1" s="1"/>
  <c r="D145" i="1"/>
  <c r="AD145" i="1" s="1"/>
  <c r="F145" i="1" s="1"/>
  <c r="D15" i="1"/>
  <c r="AD15" i="1" s="1"/>
  <c r="F15" i="1" s="1"/>
  <c r="D65" i="1"/>
  <c r="AD65" i="1" s="1"/>
  <c r="F65" i="1" s="1"/>
  <c r="D133" i="1"/>
  <c r="AD133" i="1" s="1"/>
  <c r="F133" i="1" s="1"/>
  <c r="D143" i="1"/>
  <c r="AD143" i="1" s="1"/>
  <c r="H143" i="1" s="1"/>
  <c r="D8" i="1"/>
  <c r="AD8" i="1" s="1"/>
  <c r="G8" i="1" s="1"/>
  <c r="D167" i="1"/>
  <c r="AD167" i="1" s="1"/>
  <c r="I167" i="1" s="1"/>
  <c r="D35" i="1"/>
  <c r="AD35" i="1" s="1"/>
  <c r="I35" i="1" s="1"/>
  <c r="D36" i="1"/>
  <c r="AD36" i="1" s="1"/>
  <c r="D199" i="1"/>
  <c r="AD199" i="1" s="1"/>
  <c r="D204" i="1"/>
  <c r="AD204" i="1" s="1"/>
  <c r="H204" i="1" s="1"/>
  <c r="D91" i="1"/>
  <c r="AD91" i="1" s="1"/>
  <c r="D210" i="1"/>
  <c r="AD210" i="1" s="1"/>
  <c r="D88" i="1"/>
  <c r="AD88" i="1" s="1"/>
  <c r="D100" i="1"/>
  <c r="AD100" i="1" s="1"/>
  <c r="H100" i="1" s="1"/>
  <c r="D208" i="1"/>
  <c r="AD208" i="1" s="1"/>
  <c r="H208" i="1" s="1"/>
  <c r="D28" i="1"/>
  <c r="AD28" i="1" s="1"/>
  <c r="H28" i="1" s="1"/>
  <c r="D200" i="1"/>
  <c r="AD200" i="1" s="1"/>
  <c r="H200" i="1" s="1"/>
  <c r="D130" i="1"/>
  <c r="AD130" i="1" s="1"/>
  <c r="H130" i="1" s="1"/>
  <c r="D4" i="1"/>
  <c r="AD4" i="1" s="1"/>
  <c r="H4" i="1" s="1"/>
  <c r="D201" i="1"/>
  <c r="AD201" i="1" s="1"/>
  <c r="H201" i="1" s="1"/>
  <c r="D20" i="1"/>
  <c r="AD20" i="1" s="1"/>
  <c r="H20" i="1" s="1"/>
  <c r="D229" i="1"/>
  <c r="AD229" i="1" s="1"/>
  <c r="H229" i="1" s="1"/>
  <c r="D10" i="1"/>
  <c r="AD10" i="1" s="1"/>
  <c r="I10" i="1" s="1"/>
  <c r="D34" i="1"/>
  <c r="AD34" i="1" s="1"/>
  <c r="F34" i="1" s="1"/>
  <c r="D29" i="1"/>
  <c r="AD29" i="1" s="1"/>
  <c r="I29" i="1" s="1"/>
  <c r="D92" i="1"/>
  <c r="AD92" i="1" s="1"/>
  <c r="I92" i="1" s="1"/>
  <c r="D11" i="1"/>
  <c r="AD11" i="1" s="1"/>
  <c r="F11" i="1" s="1"/>
  <c r="AD67" i="1"/>
  <c r="I67" i="1" s="1"/>
  <c r="D98" i="1"/>
  <c r="AD98" i="1" s="1"/>
  <c r="H98" i="1" s="1"/>
  <c r="D219" i="1"/>
  <c r="AD219" i="1" s="1"/>
  <c r="I219" i="1" s="1"/>
  <c r="D176" i="1"/>
  <c r="AD176" i="1" s="1"/>
  <c r="H176" i="1" s="1"/>
  <c r="D55" i="1"/>
  <c r="AD55" i="1" s="1"/>
  <c r="F55" i="1" s="1"/>
  <c r="AD142" i="1"/>
  <c r="G142" i="1" s="1"/>
  <c r="D78" i="1"/>
  <c r="AD78" i="1" s="1"/>
  <c r="G78" i="1" s="1"/>
  <c r="D180" i="1"/>
  <c r="AD180" i="1" s="1"/>
  <c r="D96" i="1"/>
  <c r="AD96" i="1" s="1"/>
  <c r="D73" i="1"/>
  <c r="AD73" i="1" s="1"/>
  <c r="D59" i="1"/>
  <c r="AD59" i="1" s="1"/>
  <c r="D47" i="1"/>
  <c r="AD47" i="1" s="1"/>
  <c r="D223" i="1"/>
  <c r="AD223" i="1" s="1"/>
  <c r="D105" i="1"/>
  <c r="AD105" i="1" s="1"/>
  <c r="G105" i="1" s="1"/>
  <c r="D82" i="1"/>
  <c r="AD82" i="1" s="1"/>
  <c r="I82" i="1" s="1"/>
  <c r="D99" i="1"/>
  <c r="AD99" i="1" s="1"/>
  <c r="G99" i="1" s="1"/>
  <c r="D90" i="1"/>
  <c r="AD90" i="1" s="1"/>
  <c r="D48" i="1"/>
  <c r="AD48" i="1" s="1"/>
  <c r="I48" i="1" s="1"/>
  <c r="D106" i="1"/>
  <c r="AD106" i="1" s="1"/>
  <c r="I106" i="1" s="1"/>
  <c r="D31" i="1"/>
  <c r="AD31" i="1" s="1"/>
  <c r="I31" i="1" s="1"/>
  <c r="D108" i="1"/>
  <c r="AD108" i="1" s="1"/>
  <c r="I108" i="1" s="1"/>
  <c r="D70" i="1"/>
  <c r="AD70" i="1" s="1"/>
  <c r="H70" i="1" s="1"/>
  <c r="AD50" i="1"/>
  <c r="G50" i="1" s="1"/>
  <c r="D158" i="1"/>
  <c r="AD158" i="1" s="1"/>
  <c r="H158" i="1" s="1"/>
  <c r="D5" i="1"/>
  <c r="AD5" i="1" s="1"/>
  <c r="H5" i="1" s="1"/>
  <c r="D225" i="1"/>
  <c r="AD225" i="1" s="1"/>
  <c r="H225" i="1" s="1"/>
  <c r="D202" i="1"/>
  <c r="AD202" i="1" s="1"/>
  <c r="I202" i="1" s="1"/>
  <c r="D124" i="1"/>
  <c r="AD124" i="1" s="1"/>
  <c r="F124" i="1" s="1"/>
  <c r="D168" i="1"/>
  <c r="AD168" i="1" s="1"/>
  <c r="H168" i="1" s="1"/>
  <c r="D192" i="1"/>
  <c r="AD192" i="1" s="1"/>
  <c r="H192" i="1" s="1"/>
  <c r="D120" i="1"/>
  <c r="AD120" i="1" s="1"/>
  <c r="H120" i="1" s="1"/>
  <c r="D14" i="1"/>
  <c r="AD14" i="1" s="1"/>
  <c r="D174" i="1"/>
  <c r="AD174" i="1" s="1"/>
  <c r="D185" i="1"/>
  <c r="AD185" i="1" s="1"/>
  <c r="D22" i="1"/>
  <c r="AD22" i="1" s="1"/>
  <c r="D182" i="1"/>
  <c r="AD182" i="1" s="1"/>
  <c r="I182" i="1" s="1"/>
  <c r="U111" i="1"/>
  <c r="U82" i="1"/>
  <c r="U106" i="1"/>
  <c r="U3" i="1"/>
  <c r="U189" i="1"/>
  <c r="U70" i="1"/>
  <c r="U223" i="1"/>
  <c r="U105" i="1"/>
  <c r="U117" i="1"/>
  <c r="U123" i="1"/>
  <c r="U31" i="1"/>
  <c r="U108" i="1"/>
  <c r="U166" i="1"/>
  <c r="U18" i="1"/>
  <c r="U56" i="1"/>
  <c r="H199" i="1"/>
  <c r="U180" i="1"/>
  <c r="U99" i="1"/>
  <c r="U90" i="1"/>
  <c r="U161" i="1"/>
  <c r="U48" i="1"/>
  <c r="U211" i="1"/>
  <c r="U131" i="1"/>
  <c r="U101" i="1"/>
  <c r="U171" i="1"/>
  <c r="U13" i="1"/>
  <c r="U154" i="1"/>
  <c r="U32" i="1"/>
  <c r="U128" i="1"/>
  <c r="U184" i="1"/>
  <c r="U226" i="1"/>
  <c r="U98" i="1"/>
  <c r="U219" i="1"/>
  <c r="U85" i="1"/>
  <c r="U176" i="1"/>
  <c r="U169" i="1"/>
  <c r="U55" i="1"/>
  <c r="U41" i="1"/>
  <c r="U30" i="1"/>
  <c r="U218" i="1"/>
  <c r="U71" i="1"/>
  <c r="U151" i="1"/>
  <c r="U68" i="1"/>
  <c r="U162" i="1"/>
  <c r="U177" i="1"/>
  <c r="U43" i="1"/>
  <c r="U163" i="1"/>
  <c r="U136" i="1"/>
  <c r="U78" i="1"/>
  <c r="U207" i="1"/>
  <c r="U110" i="1"/>
  <c r="U96" i="1"/>
  <c r="U64" i="1"/>
  <c r="U73" i="1"/>
  <c r="U59" i="1"/>
  <c r="U47" i="1"/>
  <c r="U19" i="1"/>
  <c r="U178" i="1"/>
  <c r="U97" i="1"/>
  <c r="U191" i="1"/>
  <c r="U195" i="1"/>
  <c r="U109" i="1"/>
  <c r="U220" i="1"/>
  <c r="U198" i="1"/>
  <c r="U196" i="1"/>
  <c r="U186" i="1"/>
  <c r="U93" i="1"/>
  <c r="U6" i="1"/>
  <c r="U173" i="1"/>
  <c r="U217" i="1"/>
  <c r="U61" i="1"/>
  <c r="U102" i="1"/>
  <c r="U143" i="1"/>
  <c r="U25" i="1"/>
  <c r="U118" i="1"/>
  <c r="U26" i="1"/>
  <c r="U158" i="1"/>
  <c r="U5" i="1"/>
  <c r="U225" i="1"/>
  <c r="U157" i="1"/>
  <c r="U49" i="1"/>
  <c r="U100" i="1"/>
  <c r="U200" i="1"/>
  <c r="U229" i="1"/>
  <c r="U140" i="1"/>
  <c r="U214" i="1"/>
  <c r="U159" i="1"/>
  <c r="U86" i="1"/>
  <c r="U203" i="1"/>
  <c r="U148" i="1"/>
  <c r="U156" i="1"/>
  <c r="U57" i="1"/>
  <c r="U95" i="1"/>
  <c r="U221" i="1"/>
  <c r="U202" i="1"/>
  <c r="U124" i="1"/>
  <c r="U168" i="1"/>
  <c r="U192" i="1"/>
  <c r="U120" i="1"/>
  <c r="U14" i="1"/>
  <c r="U174" i="1"/>
  <c r="U185" i="1"/>
  <c r="U22" i="1"/>
  <c r="U139" i="1"/>
  <c r="U46" i="1"/>
  <c r="U127" i="1"/>
  <c r="U67" i="1"/>
  <c r="U84" i="1"/>
  <c r="U142" i="1"/>
  <c r="U15" i="1"/>
  <c r="U8" i="1"/>
  <c r="U216" i="1"/>
  <c r="U91" i="1"/>
  <c r="H36" i="1"/>
  <c r="U153" i="1"/>
  <c r="U81" i="1"/>
  <c r="U28" i="1"/>
  <c r="U4" i="1"/>
  <c r="H95" i="1"/>
  <c r="U50" i="1"/>
  <c r="U182" i="1"/>
  <c r="U228" i="1"/>
  <c r="U72" i="1"/>
  <c r="U42" i="1"/>
  <c r="U103" i="1"/>
  <c r="U77" i="1"/>
  <c r="U147" i="1"/>
  <c r="U227" i="1"/>
  <c r="U141" i="1"/>
  <c r="U44" i="1"/>
  <c r="U16" i="1"/>
  <c r="U197" i="1"/>
  <c r="U152" i="1"/>
  <c r="U62" i="1"/>
  <c r="U125" i="1"/>
  <c r="U113" i="1"/>
  <c r="U213" i="1"/>
  <c r="U115" i="1"/>
  <c r="U133" i="1"/>
  <c r="U112" i="1"/>
  <c r="U209" i="1"/>
  <c r="U199" i="1"/>
  <c r="U88" i="1"/>
  <c r="U126" i="1"/>
  <c r="U87" i="1"/>
  <c r="U208" i="1"/>
  <c r="U130" i="1"/>
  <c r="I228" i="1"/>
  <c r="I141" i="1"/>
  <c r="U89" i="1"/>
  <c r="U181" i="1"/>
  <c r="U80" i="1"/>
  <c r="U24" i="1"/>
  <c r="U119" i="1"/>
  <c r="U129" i="1"/>
  <c r="U155" i="1"/>
  <c r="U104" i="1"/>
  <c r="U121" i="1"/>
  <c r="U187" i="1"/>
  <c r="U45" i="1"/>
  <c r="U38" i="1"/>
  <c r="U222" i="1"/>
  <c r="U175" i="1"/>
  <c r="U37" i="1"/>
  <c r="U63" i="1"/>
  <c r="U23" i="1"/>
  <c r="U146" i="1"/>
  <c r="U215" i="1"/>
  <c r="U53" i="1"/>
  <c r="U51" i="1"/>
  <c r="U194" i="1"/>
  <c r="U75" i="1"/>
  <c r="U179" i="1"/>
  <c r="U65" i="1"/>
  <c r="U35" i="1"/>
  <c r="U17" i="1"/>
  <c r="U206" i="1"/>
  <c r="U204" i="1"/>
  <c r="H91" i="1"/>
  <c r="U188" i="1"/>
  <c r="U7" i="1"/>
  <c r="U201" i="1"/>
  <c r="F155" i="1"/>
  <c r="G104" i="1"/>
  <c r="I187" i="1"/>
  <c r="U52" i="1"/>
  <c r="U116" i="1"/>
  <c r="U83" i="1"/>
  <c r="U122" i="1"/>
  <c r="U144" i="1"/>
  <c r="U150" i="1"/>
  <c r="U114" i="1"/>
  <c r="U170" i="1"/>
  <c r="U69" i="1"/>
  <c r="U76" i="1"/>
  <c r="U164" i="1"/>
  <c r="U132" i="1"/>
  <c r="U40" i="1"/>
  <c r="U66" i="1"/>
  <c r="U2" i="1"/>
  <c r="U74" i="1"/>
  <c r="U224" i="1"/>
  <c r="U205" i="1"/>
  <c r="U138" i="1"/>
  <c r="U149" i="1"/>
  <c r="U27" i="1"/>
  <c r="U21" i="1"/>
  <c r="U172" i="1"/>
  <c r="U212" i="1"/>
  <c r="U145" i="1"/>
  <c r="U167" i="1"/>
  <c r="U107" i="1"/>
  <c r="U134" i="1"/>
  <c r="U36" i="1"/>
  <c r="U210" i="1"/>
  <c r="H210" i="1"/>
  <c r="U193" i="1"/>
  <c r="U60" i="1"/>
  <c r="U20" i="1"/>
  <c r="U10" i="1"/>
  <c r="U137" i="1"/>
  <c r="U34" i="1"/>
  <c r="U160" i="1"/>
  <c r="U29" i="1"/>
  <c r="U92" i="1"/>
  <c r="U58" i="1"/>
  <c r="U11" i="1"/>
  <c r="U190" i="1"/>
  <c r="U9" i="1"/>
  <c r="U165" i="1"/>
  <c r="U39" i="1"/>
  <c r="U33" i="1"/>
  <c r="U135" i="1"/>
  <c r="U12" i="1"/>
  <c r="U94" i="1"/>
  <c r="U79" i="1"/>
  <c r="U183" i="1"/>
  <c r="U54" i="1"/>
  <c r="F88" i="1"/>
  <c r="G223" i="1"/>
  <c r="H111" i="1"/>
  <c r="I117" i="1"/>
  <c r="H90" i="1"/>
  <c r="G123" i="1"/>
  <c r="G189" i="1"/>
  <c r="F71" i="1"/>
  <c r="F43" i="1"/>
  <c r="I64" i="1"/>
  <c r="H19" i="1"/>
  <c r="G109" i="1"/>
  <c r="H46" i="1"/>
  <c r="G171" i="1"/>
  <c r="H128" i="1"/>
  <c r="F131" i="1"/>
  <c r="G101" i="1"/>
  <c r="I45" i="1"/>
  <c r="F38" i="1"/>
  <c r="F222" i="1"/>
  <c r="H175" i="1"/>
  <c r="H37" i="1"/>
  <c r="F56" i="1"/>
  <c r="I63" i="1"/>
  <c r="G23" i="1"/>
  <c r="H146" i="1"/>
  <c r="G41" i="1"/>
  <c r="G68" i="1"/>
  <c r="I136" i="1"/>
  <c r="G73" i="1"/>
  <c r="I178" i="1"/>
  <c r="F196" i="1"/>
  <c r="H51" i="1"/>
  <c r="H21" i="1"/>
  <c r="F217" i="1"/>
  <c r="F213" i="1"/>
  <c r="F13" i="1"/>
  <c r="H154" i="1"/>
  <c r="G164" i="1"/>
  <c r="H132" i="1"/>
  <c r="F40" i="1"/>
  <c r="H66" i="1"/>
  <c r="I2" i="1"/>
  <c r="G74" i="1"/>
  <c r="F205" i="1"/>
  <c r="F138" i="1"/>
  <c r="I193" i="1"/>
  <c r="I188" i="1"/>
  <c r="H153" i="1"/>
  <c r="I157" i="1"/>
  <c r="I49" i="1"/>
  <c r="H81" i="1"/>
  <c r="G7" i="1"/>
  <c r="F60" i="1"/>
  <c r="G162" i="1"/>
  <c r="G163" i="1"/>
  <c r="H110" i="1"/>
  <c r="F180" i="1"/>
  <c r="H59" i="1"/>
  <c r="F97" i="1"/>
  <c r="I198" i="1"/>
  <c r="F62" i="1"/>
  <c r="I127" i="1"/>
  <c r="F194" i="1"/>
  <c r="H113" i="1"/>
  <c r="I84" i="1"/>
  <c r="I212" i="1"/>
  <c r="I61" i="1"/>
  <c r="I112" i="1"/>
  <c r="H134" i="1"/>
  <c r="F118" i="1"/>
  <c r="I216" i="1"/>
  <c r="I206" i="1"/>
  <c r="I26" i="1"/>
  <c r="I30" i="1"/>
  <c r="I151" i="1"/>
  <c r="H177" i="1"/>
  <c r="G93" i="1"/>
  <c r="G96" i="1"/>
  <c r="F47" i="1"/>
  <c r="H191" i="1"/>
  <c r="G195" i="1"/>
  <c r="G220" i="1"/>
  <c r="F186" i="1"/>
  <c r="G173" i="1"/>
  <c r="I125" i="1"/>
  <c r="G75" i="1"/>
  <c r="I172" i="1"/>
  <c r="F179" i="1"/>
  <c r="G17" i="1"/>
  <c r="H14" i="1"/>
  <c r="H174" i="1"/>
  <c r="H185" i="1"/>
  <c r="F22" i="1"/>
  <c r="F211" i="1"/>
  <c r="C181" i="1" l="1"/>
  <c r="C101" i="1"/>
  <c r="C58" i="1"/>
  <c r="C140" i="1"/>
  <c r="C129" i="1"/>
  <c r="I218" i="1"/>
  <c r="G218" i="1"/>
  <c r="I3" i="1"/>
  <c r="I140" i="1"/>
  <c r="F98" i="1"/>
  <c r="V98" i="1" s="1"/>
  <c r="G98" i="1"/>
  <c r="F159" i="1"/>
  <c r="W159" i="1" s="1"/>
  <c r="I70" i="1"/>
  <c r="F136" i="1"/>
  <c r="W136" i="1" s="1"/>
  <c r="F72" i="1"/>
  <c r="W72" i="1" s="1"/>
  <c r="H72" i="1"/>
  <c r="I99" i="1"/>
  <c r="G155" i="1"/>
  <c r="I155" i="1"/>
  <c r="H155" i="1"/>
  <c r="G97" i="1"/>
  <c r="H40" i="1"/>
  <c r="I40" i="1"/>
  <c r="H31" i="1"/>
  <c r="H56" i="1"/>
  <c r="F185" i="1"/>
  <c r="W185" i="1" s="1"/>
  <c r="I98" i="1"/>
  <c r="X98" i="1" s="1"/>
  <c r="H88" i="1"/>
  <c r="G120" i="1"/>
  <c r="F102" i="1"/>
  <c r="V102" i="1" s="1"/>
  <c r="F110" i="1"/>
  <c r="V110" i="1" s="1"/>
  <c r="G88" i="1"/>
  <c r="C88" i="1" s="1"/>
  <c r="I20" i="1"/>
  <c r="G110" i="1"/>
  <c r="C110" i="1" s="1"/>
  <c r="I69" i="1"/>
  <c r="G20" i="1"/>
  <c r="C20" i="1" s="1"/>
  <c r="I110" i="1"/>
  <c r="G114" i="1"/>
  <c r="I145" i="1"/>
  <c r="F24" i="1"/>
  <c r="W24" i="1" s="1"/>
  <c r="G143" i="1"/>
  <c r="C143" i="1" s="1"/>
  <c r="I114" i="1"/>
  <c r="H24" i="1"/>
  <c r="G86" i="1"/>
  <c r="C86" i="1" s="1"/>
  <c r="G14" i="1"/>
  <c r="F14" i="1"/>
  <c r="V14" i="1" s="1"/>
  <c r="H214" i="1"/>
  <c r="I81" i="1"/>
  <c r="G24" i="1"/>
  <c r="C24" i="1" s="1"/>
  <c r="I14" i="1"/>
  <c r="I50" i="1"/>
  <c r="I129" i="1"/>
  <c r="I88" i="1"/>
  <c r="G15" i="1"/>
  <c r="I86" i="1"/>
  <c r="I189" i="1"/>
  <c r="I15" i="1"/>
  <c r="I196" i="1"/>
  <c r="F199" i="1"/>
  <c r="V199" i="1" s="1"/>
  <c r="G203" i="1"/>
  <c r="I73" i="1"/>
  <c r="I22" i="1"/>
  <c r="F204" i="1"/>
  <c r="V204" i="1" s="1"/>
  <c r="F203" i="1"/>
  <c r="W203" i="1" s="1"/>
  <c r="H203" i="1"/>
  <c r="H73" i="1"/>
  <c r="C73" i="1" s="1"/>
  <c r="I93" i="1"/>
  <c r="F73" i="1"/>
  <c r="W73" i="1" s="1"/>
  <c r="I148" i="1"/>
  <c r="G52" i="1"/>
  <c r="C52" i="1" s="1"/>
  <c r="I120" i="1"/>
  <c r="G199" i="1"/>
  <c r="C199" i="1" s="1"/>
  <c r="F20" i="1"/>
  <c r="W20" i="1" s="1"/>
  <c r="W3" i="1"/>
  <c r="F86" i="1"/>
  <c r="W86" i="1" s="1"/>
  <c r="I52" i="1"/>
  <c r="I8" i="1"/>
  <c r="H188" i="1"/>
  <c r="F93" i="1"/>
  <c r="V93" i="1" s="1"/>
  <c r="G22" i="1"/>
  <c r="F36" i="1"/>
  <c r="W36" i="1" s="1"/>
  <c r="F106" i="1"/>
  <c r="W106" i="1" s="1"/>
  <c r="G95" i="1"/>
  <c r="G72" i="1"/>
  <c r="H22" i="1"/>
  <c r="G180" i="1"/>
  <c r="F120" i="1"/>
  <c r="V120" i="1" s="1"/>
  <c r="F167" i="1"/>
  <c r="W167" i="1" s="1"/>
  <c r="H117" i="1"/>
  <c r="I180" i="1"/>
  <c r="F119" i="1"/>
  <c r="V119" i="1" s="1"/>
  <c r="F228" i="1"/>
  <c r="W228" i="1" s="1"/>
  <c r="H105" i="1"/>
  <c r="C105" i="1" s="1"/>
  <c r="H180" i="1"/>
  <c r="F151" i="1"/>
  <c r="V151" i="1" s="1"/>
  <c r="H119" i="1"/>
  <c r="I163" i="1"/>
  <c r="H228" i="1"/>
  <c r="G102" i="1"/>
  <c r="C102" i="1" s="1"/>
  <c r="H223" i="1"/>
  <c r="H151" i="1"/>
  <c r="G119" i="1"/>
  <c r="F163" i="1"/>
  <c r="W163" i="1" s="1"/>
  <c r="H173" i="1"/>
  <c r="G228" i="1"/>
  <c r="G42" i="1"/>
  <c r="C42" i="1" s="1"/>
  <c r="F123" i="1"/>
  <c r="W123" i="1" s="1"/>
  <c r="G11" i="1"/>
  <c r="F104" i="1"/>
  <c r="W104" i="1" s="1"/>
  <c r="F35" i="1"/>
  <c r="V35" i="1" s="1"/>
  <c r="I104" i="1"/>
  <c r="G35" i="1"/>
  <c r="G151" i="1"/>
  <c r="C151" i="1" s="1"/>
  <c r="F190" i="1"/>
  <c r="V190" i="1" s="1"/>
  <c r="I146" i="1"/>
  <c r="F31" i="1"/>
  <c r="V31" i="1" s="1"/>
  <c r="F58" i="1"/>
  <c r="W58" i="1" s="1"/>
  <c r="F146" i="1"/>
  <c r="V146" i="1" s="1"/>
  <c r="G190" i="1"/>
  <c r="C190" i="1" s="1"/>
  <c r="I23" i="1"/>
  <c r="F121" i="1"/>
  <c r="V121" i="1" s="1"/>
  <c r="F23" i="1"/>
  <c r="V23" i="1" s="1"/>
  <c r="F99" i="1"/>
  <c r="W99" i="1" s="1"/>
  <c r="I11" i="1"/>
  <c r="H65" i="1"/>
  <c r="F117" i="1"/>
  <c r="V117" i="1" s="1"/>
  <c r="H103" i="1"/>
  <c r="I111" i="1"/>
  <c r="G63" i="1"/>
  <c r="C63" i="1" s="1"/>
  <c r="G66" i="1"/>
  <c r="C66" i="1" s="1"/>
  <c r="F182" i="1"/>
  <c r="W182" i="1" s="1"/>
  <c r="H104" i="1"/>
  <c r="C104" i="1" s="1"/>
  <c r="F70" i="1"/>
  <c r="V70" i="1" s="1"/>
  <c r="F100" i="1"/>
  <c r="W100" i="1" s="1"/>
  <c r="H30" i="1"/>
  <c r="H58" i="1"/>
  <c r="I223" i="1"/>
  <c r="F2" i="1"/>
  <c r="V2" i="1" s="1"/>
  <c r="H29" i="1"/>
  <c r="G29" i="1"/>
  <c r="C29" i="1" s="1"/>
  <c r="H167" i="1"/>
  <c r="I74" i="1"/>
  <c r="G34" i="1"/>
  <c r="C34" i="1" s="1"/>
  <c r="G111" i="1"/>
  <c r="C111" i="1" s="1"/>
  <c r="H23" i="1"/>
  <c r="C23" i="1" s="1"/>
  <c r="H92" i="1"/>
  <c r="G174" i="1"/>
  <c r="C174" i="1" s="1"/>
  <c r="F105" i="1"/>
  <c r="W105" i="1" s="1"/>
  <c r="G103" i="1"/>
  <c r="I174" i="1"/>
  <c r="F76" i="1"/>
  <c r="V76" i="1" s="1"/>
  <c r="G132" i="1"/>
  <c r="C132" i="1" s="1"/>
  <c r="F174" i="1"/>
  <c r="V174" i="1" s="1"/>
  <c r="G76" i="1"/>
  <c r="C76" i="1" s="1"/>
  <c r="I66" i="1"/>
  <c r="G170" i="1"/>
  <c r="H63" i="1"/>
  <c r="I137" i="1"/>
  <c r="H182" i="1"/>
  <c r="H123" i="1"/>
  <c r="G167" i="1"/>
  <c r="H163" i="1"/>
  <c r="C163" i="1" s="1"/>
  <c r="H190" i="1"/>
  <c r="I123" i="1"/>
  <c r="C123" i="1" s="1"/>
  <c r="I58" i="1"/>
  <c r="H2" i="1"/>
  <c r="F92" i="1"/>
  <c r="V92" i="1" s="1"/>
  <c r="H211" i="1"/>
  <c r="F74" i="1"/>
  <c r="V74" i="1" s="1"/>
  <c r="H137" i="1"/>
  <c r="G137" i="1"/>
  <c r="C137" i="1" s="1"/>
  <c r="I210" i="1"/>
  <c r="I132" i="1"/>
  <c r="F50" i="1"/>
  <c r="V50" i="1" s="1"/>
  <c r="H212" i="1"/>
  <c r="I76" i="1"/>
  <c r="F66" i="1"/>
  <c r="V66" i="1" s="1"/>
  <c r="I170" i="1"/>
  <c r="G56" i="1"/>
  <c r="F69" i="1"/>
  <c r="W69" i="1" s="1"/>
  <c r="G182" i="1"/>
  <c r="G100" i="1"/>
  <c r="C100" i="1" s="1"/>
  <c r="H226" i="1"/>
  <c r="G146" i="1"/>
  <c r="G31" i="1"/>
  <c r="F29" i="1"/>
  <c r="V29" i="1" s="1"/>
  <c r="H11" i="1"/>
  <c r="F90" i="1"/>
  <c r="W90" i="1" s="1"/>
  <c r="H121" i="1"/>
  <c r="I34" i="1"/>
  <c r="G92" i="1"/>
  <c r="H15" i="1"/>
  <c r="F63" i="1"/>
  <c r="W63" i="1" s="1"/>
  <c r="H102" i="1"/>
  <c r="F132" i="1"/>
  <c r="V132" i="1" s="1"/>
  <c r="G62" i="1"/>
  <c r="F114" i="1"/>
  <c r="W114" i="1" s="1"/>
  <c r="F187" i="1"/>
  <c r="V187" i="1" s="1"/>
  <c r="I56" i="1"/>
  <c r="H69" i="1"/>
  <c r="H99" i="1"/>
  <c r="G70" i="1"/>
  <c r="C70" i="1" s="1"/>
  <c r="I105" i="1"/>
  <c r="I42" i="1"/>
  <c r="F219" i="1"/>
  <c r="V219" i="1" s="1"/>
  <c r="H219" i="1"/>
  <c r="I95" i="1"/>
  <c r="H35" i="1"/>
  <c r="H34" i="1"/>
  <c r="F170" i="1"/>
  <c r="W170" i="1" s="1"/>
  <c r="H74" i="1"/>
  <c r="F223" i="1"/>
  <c r="V223" i="1" s="1"/>
  <c r="I103" i="1"/>
  <c r="F210" i="1"/>
  <c r="V210" i="1" s="1"/>
  <c r="I199" i="1"/>
  <c r="H50" i="1"/>
  <c r="C50" i="1" s="1"/>
  <c r="F91" i="1"/>
  <c r="V91" i="1" s="1"/>
  <c r="I36" i="1"/>
  <c r="H62" i="1"/>
  <c r="G40" i="1"/>
  <c r="F129" i="1"/>
  <c r="W129" i="1" s="1"/>
  <c r="W62" i="1"/>
  <c r="V62" i="1"/>
  <c r="V103" i="1"/>
  <c r="W103" i="1"/>
  <c r="W155" i="1"/>
  <c r="V155" i="1"/>
  <c r="V56" i="1"/>
  <c r="W56" i="1"/>
  <c r="G154" i="1"/>
  <c r="C154" i="1" s="1"/>
  <c r="V38" i="1"/>
  <c r="W38" i="1"/>
  <c r="W179" i="1"/>
  <c r="V179" i="1"/>
  <c r="V60" i="1"/>
  <c r="W60" i="1"/>
  <c r="V22" i="1"/>
  <c r="W22" i="1"/>
  <c r="W98" i="1"/>
  <c r="V15" i="1"/>
  <c r="W15" i="1"/>
  <c r="F162" i="1"/>
  <c r="I164" i="1"/>
  <c r="H162" i="1"/>
  <c r="F164" i="1"/>
  <c r="W186" i="1"/>
  <c r="V186" i="1"/>
  <c r="V196" i="1"/>
  <c r="W196" i="1"/>
  <c r="W156" i="1"/>
  <c r="V156" i="1"/>
  <c r="I175" i="1"/>
  <c r="V115" i="1"/>
  <c r="W115" i="1"/>
  <c r="V85" i="1"/>
  <c r="W85" i="1"/>
  <c r="W131" i="1"/>
  <c r="V131" i="1"/>
  <c r="W217" i="1"/>
  <c r="V217" i="1"/>
  <c r="W180" i="1"/>
  <c r="V180" i="1"/>
  <c r="F221" i="1"/>
  <c r="H189" i="1"/>
  <c r="C189" i="1" s="1"/>
  <c r="I162" i="1"/>
  <c r="C162" i="1" s="1"/>
  <c r="H164" i="1"/>
  <c r="C164" i="1" s="1"/>
  <c r="H108" i="1"/>
  <c r="G158" i="1"/>
  <c r="I62" i="1"/>
  <c r="F95" i="1"/>
  <c r="I83" i="1"/>
  <c r="V133" i="1"/>
  <c r="W133" i="1"/>
  <c r="H106" i="1"/>
  <c r="I133" i="1"/>
  <c r="F214" i="1"/>
  <c r="F116" i="1"/>
  <c r="H26" i="1"/>
  <c r="V47" i="1"/>
  <c r="W47" i="1"/>
  <c r="V145" i="1"/>
  <c r="W145" i="1"/>
  <c r="V88" i="1"/>
  <c r="W88" i="1"/>
  <c r="V213" i="1"/>
  <c r="W213" i="1"/>
  <c r="F26" i="1"/>
  <c r="G214" i="1"/>
  <c r="C214" i="1" s="1"/>
  <c r="V222" i="1"/>
  <c r="W222" i="1"/>
  <c r="G175" i="1"/>
  <c r="C175" i="1" s="1"/>
  <c r="I154" i="1"/>
  <c r="G202" i="1"/>
  <c r="I116" i="1"/>
  <c r="V138" i="1"/>
  <c r="W138" i="1"/>
  <c r="H49" i="1"/>
  <c r="F202" i="1"/>
  <c r="V211" i="1"/>
  <c r="W211" i="1"/>
  <c r="W11" i="1"/>
  <c r="V11" i="1"/>
  <c r="W55" i="1"/>
  <c r="V55" i="1"/>
  <c r="F130" i="1"/>
  <c r="G117" i="1"/>
  <c r="C117" i="1" s="1"/>
  <c r="G185" i="1"/>
  <c r="C185" i="1" s="1"/>
  <c r="I80" i="1"/>
  <c r="G59" i="1"/>
  <c r="C59" i="1" s="1"/>
  <c r="G157" i="1"/>
  <c r="C157" i="1" s="1"/>
  <c r="H202" i="1"/>
  <c r="H187" i="1"/>
  <c r="V224" i="1"/>
  <c r="W224" i="1"/>
  <c r="W137" i="1"/>
  <c r="V137" i="1"/>
  <c r="W226" i="1"/>
  <c r="V226" i="1"/>
  <c r="I185" i="1"/>
  <c r="F227" i="1"/>
  <c r="F59" i="1"/>
  <c r="H193" i="1"/>
  <c r="G187" i="1"/>
  <c r="V169" i="1"/>
  <c r="W169" i="1"/>
  <c r="W97" i="1"/>
  <c r="V97" i="1"/>
  <c r="W65" i="1"/>
  <c r="V65" i="1"/>
  <c r="H116" i="1"/>
  <c r="C116" i="1" s="1"/>
  <c r="G26" i="1"/>
  <c r="C26" i="1" s="1"/>
  <c r="V43" i="1"/>
  <c r="W43" i="1"/>
  <c r="W77" i="1"/>
  <c r="V77" i="1"/>
  <c r="F157" i="1"/>
  <c r="V205" i="1"/>
  <c r="W205" i="1"/>
  <c r="H227" i="1"/>
  <c r="C227" i="1" s="1"/>
  <c r="G122" i="1"/>
  <c r="F189" i="1"/>
  <c r="I122" i="1"/>
  <c r="H77" i="1"/>
  <c r="I227" i="1"/>
  <c r="F52" i="1"/>
  <c r="F111" i="1"/>
  <c r="G191" i="1"/>
  <c r="H129" i="1"/>
  <c r="G219" i="1"/>
  <c r="G77" i="1"/>
  <c r="V40" i="1"/>
  <c r="W40" i="1"/>
  <c r="W13" i="1"/>
  <c r="V13" i="1"/>
  <c r="W209" i="1"/>
  <c r="V209" i="1"/>
  <c r="F175" i="1"/>
  <c r="V124" i="1"/>
  <c r="W124" i="1"/>
  <c r="W118" i="1"/>
  <c r="V118" i="1"/>
  <c r="V194" i="1"/>
  <c r="W194" i="1"/>
  <c r="G108" i="1"/>
  <c r="W71" i="1"/>
  <c r="V71" i="1"/>
  <c r="F193" i="1"/>
  <c r="G36" i="1"/>
  <c r="F177" i="1"/>
  <c r="F166" i="1"/>
  <c r="F108" i="1"/>
  <c r="I100" i="1"/>
  <c r="H196" i="1"/>
  <c r="I191" i="1"/>
  <c r="I77" i="1"/>
  <c r="W34" i="1"/>
  <c r="V34" i="1"/>
  <c r="F188" i="1"/>
  <c r="I161" i="1"/>
  <c r="F5" i="1"/>
  <c r="H159" i="1"/>
  <c r="G159" i="1"/>
  <c r="C159" i="1" s="1"/>
  <c r="G166" i="1"/>
  <c r="C166" i="1" s="1"/>
  <c r="F158" i="1"/>
  <c r="F161" i="1"/>
  <c r="F81" i="1"/>
  <c r="G206" i="1"/>
  <c r="C206" i="1" s="1"/>
  <c r="I101" i="1"/>
  <c r="F64" i="1"/>
  <c r="G4" i="1"/>
  <c r="G81" i="1"/>
  <c r="F181" i="1"/>
  <c r="I4" i="1"/>
  <c r="F200" i="1"/>
  <c r="F126" i="1"/>
  <c r="F89" i="1"/>
  <c r="G200" i="1"/>
  <c r="G221" i="1"/>
  <c r="H89" i="1"/>
  <c r="I181" i="1"/>
  <c r="I221" i="1"/>
  <c r="G89" i="1"/>
  <c r="C89" i="1" s="1"/>
  <c r="F147" i="1"/>
  <c r="I65" i="1"/>
  <c r="I5" i="1"/>
  <c r="H57" i="1"/>
  <c r="F141" i="1"/>
  <c r="F127" i="1"/>
  <c r="H150" i="1"/>
  <c r="G145" i="1"/>
  <c r="C145" i="1" s="1"/>
  <c r="F143" i="1"/>
  <c r="G121" i="1"/>
  <c r="G57" i="1"/>
  <c r="I59" i="1"/>
  <c r="H141" i="1"/>
  <c r="G138" i="1"/>
  <c r="H127" i="1"/>
  <c r="I147" i="1"/>
  <c r="F173" i="1"/>
  <c r="G150" i="1"/>
  <c r="G156" i="1"/>
  <c r="G176" i="1"/>
  <c r="C176" i="1" s="1"/>
  <c r="F4" i="1"/>
  <c r="H126" i="1"/>
  <c r="C126" i="1" s="1"/>
  <c r="H181" i="1"/>
  <c r="G193" i="1"/>
  <c r="C193" i="1" s="1"/>
  <c r="F8" i="1"/>
  <c r="I91" i="1"/>
  <c r="F57" i="1"/>
  <c r="H147" i="1"/>
  <c r="C147" i="1" s="1"/>
  <c r="F150" i="1"/>
  <c r="G229" i="1"/>
  <c r="C229" i="1" s="1"/>
  <c r="I173" i="1"/>
  <c r="H156" i="1"/>
  <c r="H161" i="1"/>
  <c r="C161" i="1" s="1"/>
  <c r="G201" i="1"/>
  <c r="G141" i="1"/>
  <c r="I138" i="1"/>
  <c r="G127" i="1"/>
  <c r="F144" i="1"/>
  <c r="I156" i="1"/>
  <c r="G65" i="1"/>
  <c r="I201" i="1"/>
  <c r="H166" i="1"/>
  <c r="F28" i="1"/>
  <c r="F125" i="1"/>
  <c r="G210" i="1"/>
  <c r="C210" i="1" s="1"/>
  <c r="F148" i="1"/>
  <c r="F140" i="1"/>
  <c r="G91" i="1"/>
  <c r="G28" i="1"/>
  <c r="C28" i="1" s="1"/>
  <c r="G196" i="1"/>
  <c r="C196" i="1" s="1"/>
  <c r="H80" i="1"/>
  <c r="C80" i="1" s="1"/>
  <c r="H148" i="1"/>
  <c r="C148" i="1" s="1"/>
  <c r="G2" i="1"/>
  <c r="C2" i="1" s="1"/>
  <c r="F122" i="1"/>
  <c r="F42" i="1"/>
  <c r="H138" i="1"/>
  <c r="G51" i="1"/>
  <c r="C51" i="1" s="1"/>
  <c r="G144" i="1"/>
  <c r="G37" i="1"/>
  <c r="H83" i="1"/>
  <c r="C83" i="1" s="1"/>
  <c r="H140" i="1"/>
  <c r="F201" i="1"/>
  <c r="I200" i="1"/>
  <c r="I28" i="1"/>
  <c r="I208" i="1"/>
  <c r="I143" i="1"/>
  <c r="G130" i="1"/>
  <c r="F80" i="1"/>
  <c r="H144" i="1"/>
  <c r="F83" i="1"/>
  <c r="G5" i="1"/>
  <c r="G205" i="1"/>
  <c r="C205" i="1" s="1"/>
  <c r="I51" i="1"/>
  <c r="F37" i="1"/>
  <c r="F78" i="1"/>
  <c r="G160" i="1"/>
  <c r="C160" i="1" s="1"/>
  <c r="G208" i="1"/>
  <c r="C208" i="1" s="1"/>
  <c r="H171" i="1"/>
  <c r="C171" i="1" s="1"/>
  <c r="I25" i="1"/>
  <c r="C25" i="1" s="1"/>
  <c r="I186" i="1"/>
  <c r="F101" i="1"/>
  <c r="H186" i="1"/>
  <c r="H3" i="1"/>
  <c r="I225" i="1"/>
  <c r="I179" i="1"/>
  <c r="H93" i="1"/>
  <c r="C93" i="1" s="1"/>
  <c r="G186" i="1"/>
  <c r="G131" i="1"/>
  <c r="G134" i="1"/>
  <c r="G82" i="1"/>
  <c r="C82" i="1" s="1"/>
  <c r="F82" i="1"/>
  <c r="G204" i="1"/>
  <c r="C204" i="1" s="1"/>
  <c r="G192" i="1"/>
  <c r="I43" i="1"/>
  <c r="I21" i="1"/>
  <c r="I134" i="1"/>
  <c r="G19" i="1"/>
  <c r="C19" i="1" s="1"/>
  <c r="H136" i="1"/>
  <c r="H8" i="1"/>
  <c r="C8" i="1" s="1"/>
  <c r="I192" i="1"/>
  <c r="H43" i="1"/>
  <c r="H224" i="1"/>
  <c r="H112" i="1"/>
  <c r="H64" i="1"/>
  <c r="G136" i="1"/>
  <c r="C136" i="1" s="1"/>
  <c r="I176" i="1"/>
  <c r="G9" i="1"/>
  <c r="H101" i="1"/>
  <c r="I204" i="1"/>
  <c r="I90" i="1"/>
  <c r="F67" i="1"/>
  <c r="F154" i="1"/>
  <c r="I113" i="1"/>
  <c r="I37" i="1"/>
  <c r="H118" i="1"/>
  <c r="I71" i="1"/>
  <c r="F208" i="1"/>
  <c r="I128" i="1"/>
  <c r="H18" i="1"/>
  <c r="I32" i="1"/>
  <c r="F25" i="1"/>
  <c r="F134" i="1"/>
  <c r="G225" i="1"/>
  <c r="C225" i="1" s="1"/>
  <c r="G133" i="1"/>
  <c r="C133" i="1" s="1"/>
  <c r="F112" i="1"/>
  <c r="H48" i="1"/>
  <c r="F207" i="1"/>
  <c r="I177" i="1"/>
  <c r="H41" i="1"/>
  <c r="C41" i="1" s="1"/>
  <c r="H145" i="1"/>
  <c r="F41" i="1"/>
  <c r="G113" i="1"/>
  <c r="H71" i="1"/>
  <c r="H82" i="1"/>
  <c r="G90" i="1"/>
  <c r="C90" i="1" s="1"/>
  <c r="H67" i="1"/>
  <c r="H169" i="1"/>
  <c r="F220" i="1"/>
  <c r="F113" i="1"/>
  <c r="H87" i="1"/>
  <c r="H107" i="1"/>
  <c r="G71" i="1"/>
  <c r="C71" i="1" s="1"/>
  <c r="G48" i="1"/>
  <c r="I130" i="1"/>
  <c r="G67" i="1"/>
  <c r="C67" i="1" s="1"/>
  <c r="G226" i="1"/>
  <c r="G211" i="1"/>
  <c r="H97" i="1"/>
  <c r="G194" i="1"/>
  <c r="C194" i="1" s="1"/>
  <c r="F30" i="1"/>
  <c r="F87" i="1"/>
  <c r="F107" i="1"/>
  <c r="G55" i="1"/>
  <c r="C55" i="1" s="1"/>
  <c r="G128" i="1"/>
  <c r="H160" i="1"/>
  <c r="H25" i="1"/>
  <c r="F51" i="1"/>
  <c r="I171" i="1"/>
  <c r="F48" i="1"/>
  <c r="F21" i="1"/>
  <c r="H133" i="1"/>
  <c r="F192" i="1"/>
  <c r="G43" i="1"/>
  <c r="I41" i="1"/>
  <c r="G112" i="1"/>
  <c r="G3" i="1"/>
  <c r="C3" i="1" s="1"/>
  <c r="I229" i="1"/>
  <c r="G18" i="1"/>
  <c r="C18" i="1" s="1"/>
  <c r="H216" i="1"/>
  <c r="G106" i="1"/>
  <c r="C106" i="1" s="1"/>
  <c r="I213" i="1"/>
  <c r="F229" i="1"/>
  <c r="F225" i="1"/>
  <c r="I158" i="1"/>
  <c r="I226" i="1"/>
  <c r="I211" i="1"/>
  <c r="I97" i="1"/>
  <c r="I194" i="1"/>
  <c r="G30" i="1"/>
  <c r="G87" i="1"/>
  <c r="G107" i="1"/>
  <c r="I55" i="1"/>
  <c r="F18" i="1"/>
  <c r="F46" i="1"/>
  <c r="I7" i="1"/>
  <c r="H194" i="1"/>
  <c r="H55" i="1"/>
  <c r="I153" i="1"/>
  <c r="G49" i="1"/>
  <c r="C49" i="1" s="1"/>
  <c r="H213" i="1"/>
  <c r="H178" i="1"/>
  <c r="H206" i="1"/>
  <c r="F84" i="1"/>
  <c r="F191" i="1"/>
  <c r="H38" i="1"/>
  <c r="H124" i="1"/>
  <c r="I78" i="1"/>
  <c r="F153" i="1"/>
  <c r="F171" i="1"/>
  <c r="G213" i="1"/>
  <c r="C213" i="1" s="1"/>
  <c r="F206" i="1"/>
  <c r="G21" i="1"/>
  <c r="H157" i="1"/>
  <c r="H78" i="1"/>
  <c r="C78" i="1" s="1"/>
  <c r="G153" i="1"/>
  <c r="G45" i="1"/>
  <c r="F19" i="1"/>
  <c r="F45" i="1"/>
  <c r="I19" i="1"/>
  <c r="G46" i="1"/>
  <c r="H45" i="1"/>
  <c r="G209" i="1"/>
  <c r="F176" i="1"/>
  <c r="F128" i="1"/>
  <c r="G118" i="1"/>
  <c r="I46" i="1"/>
  <c r="H179" i="1"/>
  <c r="I209" i="1"/>
  <c r="G64" i="1"/>
  <c r="F9" i="1"/>
  <c r="I118" i="1"/>
  <c r="G177" i="1"/>
  <c r="H209" i="1"/>
  <c r="F160" i="1"/>
  <c r="F49" i="1"/>
  <c r="G179" i="1"/>
  <c r="I220" i="1"/>
  <c r="H9" i="1"/>
  <c r="G32" i="1"/>
  <c r="H195" i="1"/>
  <c r="H85" i="1"/>
  <c r="H220" i="1"/>
  <c r="C220" i="1" s="1"/>
  <c r="F195" i="1"/>
  <c r="G216" i="1"/>
  <c r="H61" i="1"/>
  <c r="G85" i="1"/>
  <c r="I131" i="1"/>
  <c r="I195" i="1"/>
  <c r="F212" i="1"/>
  <c r="I85" i="1"/>
  <c r="G47" i="1"/>
  <c r="I126" i="1"/>
  <c r="F10" i="1"/>
  <c r="F61" i="1"/>
  <c r="H109" i="1"/>
  <c r="C109" i="1" s="1"/>
  <c r="H47" i="1"/>
  <c r="I17" i="1"/>
  <c r="I13" i="1"/>
  <c r="G10" i="1"/>
  <c r="C10" i="1" s="1"/>
  <c r="I222" i="1"/>
  <c r="F109" i="1"/>
  <c r="I142" i="1"/>
  <c r="I184" i="1"/>
  <c r="G115" i="1"/>
  <c r="I109" i="1"/>
  <c r="G168" i="1"/>
  <c r="G217" i="1"/>
  <c r="H205" i="1"/>
  <c r="H13" i="1"/>
  <c r="F142" i="1"/>
  <c r="F198" i="1"/>
  <c r="F68" i="1"/>
  <c r="H222" i="1"/>
  <c r="F172" i="1"/>
  <c r="I96" i="1"/>
  <c r="H60" i="1"/>
  <c r="F216" i="1"/>
  <c r="G212" i="1"/>
  <c r="C212" i="1" s="1"/>
  <c r="I207" i="1"/>
  <c r="G188" i="1"/>
  <c r="C188" i="1" s="1"/>
  <c r="G61" i="1"/>
  <c r="C61" i="1" s="1"/>
  <c r="F75" i="1"/>
  <c r="H131" i="1"/>
  <c r="H75" i="1"/>
  <c r="H10" i="1"/>
  <c r="G222" i="1"/>
  <c r="I205" i="1"/>
  <c r="G172" i="1"/>
  <c r="H218" i="1"/>
  <c r="I75" i="1"/>
  <c r="F184" i="1"/>
  <c r="I115" i="1"/>
  <c r="G178" i="1"/>
  <c r="G169" i="1"/>
  <c r="C169" i="1" s="1"/>
  <c r="I168" i="1"/>
  <c r="I217" i="1"/>
  <c r="F7" i="1"/>
  <c r="G224" i="1"/>
  <c r="H84" i="1"/>
  <c r="H198" i="1"/>
  <c r="H68" i="1"/>
  <c r="C68" i="1" s="1"/>
  <c r="G38" i="1"/>
  <c r="C38" i="1" s="1"/>
  <c r="G124" i="1"/>
  <c r="C124" i="1" s="1"/>
  <c r="H125" i="1"/>
  <c r="H96" i="1"/>
  <c r="C96" i="1" s="1"/>
  <c r="G60" i="1"/>
  <c r="C60" i="1" s="1"/>
  <c r="F32" i="1"/>
  <c r="G207" i="1"/>
  <c r="H17" i="1"/>
  <c r="F17" i="1"/>
  <c r="G13" i="1"/>
  <c r="H172" i="1"/>
  <c r="H115" i="1"/>
  <c r="H184" i="1"/>
  <c r="C184" i="1" s="1"/>
  <c r="F178" i="1"/>
  <c r="I169" i="1"/>
  <c r="F168" i="1"/>
  <c r="H217" i="1"/>
  <c r="H7" i="1"/>
  <c r="C7" i="1" s="1"/>
  <c r="I224" i="1"/>
  <c r="G84" i="1"/>
  <c r="G198" i="1"/>
  <c r="I68" i="1"/>
  <c r="I38" i="1"/>
  <c r="I124" i="1"/>
  <c r="G125" i="1"/>
  <c r="F96" i="1"/>
  <c r="I60" i="1"/>
  <c r="I47" i="1"/>
  <c r="H142" i="1"/>
  <c r="C142" i="1" s="1"/>
  <c r="I149" i="1"/>
  <c r="G149" i="1"/>
  <c r="F149" i="1"/>
  <c r="H149" i="1"/>
  <c r="F94" i="1"/>
  <c r="I94" i="1"/>
  <c r="G94" i="1"/>
  <c r="H94" i="1"/>
  <c r="F12" i="1"/>
  <c r="I12" i="1"/>
  <c r="G12" i="1"/>
  <c r="H12" i="1"/>
  <c r="H139" i="1"/>
  <c r="F139" i="1"/>
  <c r="I139" i="1"/>
  <c r="G139" i="1"/>
  <c r="C139" i="1" s="1"/>
  <c r="F54" i="1"/>
  <c r="I54" i="1"/>
  <c r="G54" i="1"/>
  <c r="H54" i="1"/>
  <c r="F165" i="1"/>
  <c r="I165" i="1"/>
  <c r="G165" i="1"/>
  <c r="H165" i="1"/>
  <c r="F135" i="1"/>
  <c r="I135" i="1"/>
  <c r="G135" i="1"/>
  <c r="H135" i="1"/>
  <c r="F39" i="1"/>
  <c r="I39" i="1"/>
  <c r="G39" i="1"/>
  <c r="H39" i="1"/>
  <c r="F197" i="1"/>
  <c r="H197" i="1"/>
  <c r="I197" i="1"/>
  <c r="G197" i="1"/>
  <c r="C197" i="1" s="1"/>
  <c r="I215" i="1"/>
  <c r="G215" i="1"/>
  <c r="H215" i="1"/>
  <c r="F215" i="1"/>
  <c r="F152" i="1"/>
  <c r="H152" i="1"/>
  <c r="I152" i="1"/>
  <c r="G152" i="1"/>
  <c r="C152" i="1" s="1"/>
  <c r="H53" i="1"/>
  <c r="F53" i="1"/>
  <c r="I53" i="1"/>
  <c r="G53" i="1"/>
  <c r="C53" i="1" s="1"/>
  <c r="F183" i="1"/>
  <c r="I183" i="1"/>
  <c r="G183" i="1"/>
  <c r="H183" i="1"/>
  <c r="F33" i="1"/>
  <c r="I33" i="1"/>
  <c r="G33" i="1"/>
  <c r="H33" i="1"/>
  <c r="I27" i="1"/>
  <c r="G27" i="1"/>
  <c r="C27" i="1" s="1"/>
  <c r="H27" i="1"/>
  <c r="F27" i="1"/>
  <c r="H6" i="1"/>
  <c r="I6" i="1"/>
  <c r="G6" i="1"/>
  <c r="F6" i="1"/>
  <c r="H44" i="1"/>
  <c r="I44" i="1"/>
  <c r="G44" i="1"/>
  <c r="C44" i="1" s="1"/>
  <c r="F44" i="1"/>
  <c r="F16" i="1"/>
  <c r="H16" i="1"/>
  <c r="I16" i="1"/>
  <c r="G16" i="1"/>
  <c r="C16" i="1" s="1"/>
  <c r="F79" i="1"/>
  <c r="I79" i="1"/>
  <c r="G79" i="1"/>
  <c r="H79" i="1"/>
  <c r="C6" i="1" l="1"/>
  <c r="C84" i="1"/>
  <c r="C118" i="1"/>
  <c r="C48" i="1"/>
  <c r="C5" i="1"/>
  <c r="C31" i="1"/>
  <c r="C167" i="1"/>
  <c r="C47" i="1"/>
  <c r="C91" i="1"/>
  <c r="C146" i="1"/>
  <c r="C35" i="1"/>
  <c r="C177" i="1"/>
  <c r="C215" i="1"/>
  <c r="C180" i="1"/>
  <c r="C114" i="1"/>
  <c r="C12" i="1"/>
  <c r="C178" i="1"/>
  <c r="C43" i="1"/>
  <c r="C130" i="1"/>
  <c r="C156" i="1"/>
  <c r="C200" i="1"/>
  <c r="C219" i="1"/>
  <c r="C182" i="1"/>
  <c r="C74" i="1"/>
  <c r="C221" i="1"/>
  <c r="C216" i="1"/>
  <c r="C46" i="1"/>
  <c r="C150" i="1"/>
  <c r="C170" i="1"/>
  <c r="C11" i="1"/>
  <c r="C72" i="1"/>
  <c r="C203" i="1"/>
  <c r="C64" i="1"/>
  <c r="C155" i="1"/>
  <c r="C77" i="1"/>
  <c r="C217" i="1"/>
  <c r="C134" i="1"/>
  <c r="C191" i="1"/>
  <c r="C187" i="1"/>
  <c r="C56" i="1"/>
  <c r="C95" i="1"/>
  <c r="C98" i="1"/>
  <c r="C125" i="1"/>
  <c r="C228" i="1"/>
  <c r="C165" i="1"/>
  <c r="C54" i="1"/>
  <c r="C168" i="1"/>
  <c r="C94" i="1"/>
  <c r="C195" i="1"/>
  <c r="C45" i="1"/>
  <c r="C138" i="1"/>
  <c r="C36" i="1"/>
  <c r="C69" i="1"/>
  <c r="C173" i="1"/>
  <c r="C22" i="1"/>
  <c r="C211" i="1"/>
  <c r="C97" i="1"/>
  <c r="C198" i="1"/>
  <c r="C192" i="1"/>
  <c r="C99" i="1"/>
  <c r="C32" i="1"/>
  <c r="C153" i="1"/>
  <c r="C107" i="1"/>
  <c r="C127" i="1"/>
  <c r="C81" i="1"/>
  <c r="C218" i="1"/>
  <c r="C112" i="1"/>
  <c r="C85" i="1"/>
  <c r="C131" i="1"/>
  <c r="C39" i="1"/>
  <c r="C115" i="1"/>
  <c r="C222" i="1"/>
  <c r="C87" i="1"/>
  <c r="C113" i="1"/>
  <c r="C4" i="1"/>
  <c r="C119" i="1"/>
  <c r="C15" i="1"/>
  <c r="C209" i="1"/>
  <c r="C65" i="1"/>
  <c r="C186" i="1"/>
  <c r="C172" i="1"/>
  <c r="C183" i="1"/>
  <c r="C17" i="1"/>
  <c r="C30" i="1"/>
  <c r="C9" i="1"/>
  <c r="C37" i="1"/>
  <c r="C141" i="1"/>
  <c r="C57" i="1"/>
  <c r="C202" i="1"/>
  <c r="C103" i="1"/>
  <c r="C120" i="1"/>
  <c r="C92" i="1"/>
  <c r="C14" i="1"/>
  <c r="C226" i="1"/>
  <c r="C224" i="1"/>
  <c r="C33" i="1"/>
  <c r="C13" i="1"/>
  <c r="C79" i="1"/>
  <c r="C135" i="1"/>
  <c r="C149" i="1"/>
  <c r="C207" i="1"/>
  <c r="C75" i="1"/>
  <c r="C179" i="1"/>
  <c r="C21" i="1"/>
  <c r="C128" i="1"/>
  <c r="C144" i="1"/>
  <c r="C201" i="1"/>
  <c r="C121" i="1"/>
  <c r="C108" i="1"/>
  <c r="C122" i="1"/>
  <c r="C158" i="1"/>
  <c r="C40" i="1"/>
  <c r="C62" i="1"/>
  <c r="C223" i="1"/>
  <c r="X140" i="1"/>
  <c r="V185" i="1"/>
  <c r="X2" i="1"/>
  <c r="X40" i="1"/>
  <c r="Y40" i="1" s="1"/>
  <c r="V72" i="1"/>
  <c r="V159" i="1"/>
  <c r="X70" i="1"/>
  <c r="V136" i="1"/>
  <c r="X99" i="1"/>
  <c r="X72" i="1"/>
  <c r="Y72" i="1" s="1"/>
  <c r="W76" i="1"/>
  <c r="X31" i="1"/>
  <c r="X167" i="1"/>
  <c r="Y167" i="1" s="1"/>
  <c r="X151" i="1"/>
  <c r="X58" i="1"/>
  <c r="Y58" i="1" s="1"/>
  <c r="V106" i="1"/>
  <c r="X121" i="1"/>
  <c r="X73" i="1"/>
  <c r="Y73" i="1" s="1"/>
  <c r="X114" i="1"/>
  <c r="Y114" i="1" s="1"/>
  <c r="X155" i="1"/>
  <c r="Y155" i="1" s="1"/>
  <c r="W102" i="1"/>
  <c r="X86" i="1"/>
  <c r="Y86" i="1" s="1"/>
  <c r="W35" i="1"/>
  <c r="X197" i="1"/>
  <c r="X169" i="1"/>
  <c r="Y169" i="1" s="1"/>
  <c r="X76" i="1"/>
  <c r="W50" i="1"/>
  <c r="X81" i="1"/>
  <c r="W187" i="1"/>
  <c r="X63" i="1"/>
  <c r="Y63" i="1" s="1"/>
  <c r="X100" i="1"/>
  <c r="Y100" i="1" s="1"/>
  <c r="W120" i="1"/>
  <c r="X20" i="1"/>
  <c r="Y20" i="1" s="1"/>
  <c r="X56" i="1"/>
  <c r="Y56" i="1" s="1"/>
  <c r="W93" i="1"/>
  <c r="X189" i="1"/>
  <c r="X208" i="1"/>
  <c r="X166" i="1"/>
  <c r="X147" i="1"/>
  <c r="X159" i="1"/>
  <c r="Y159" i="1" s="1"/>
  <c r="X23" i="1"/>
  <c r="X67" i="1"/>
  <c r="W110" i="1"/>
  <c r="X199" i="1"/>
  <c r="X120" i="1"/>
  <c r="W119" i="1"/>
  <c r="X19" i="1"/>
  <c r="X28" i="1"/>
  <c r="X185" i="1"/>
  <c r="Y185" i="1" s="1"/>
  <c r="X188" i="1"/>
  <c r="X14" i="1"/>
  <c r="X196" i="1"/>
  <c r="Y196" i="1" s="1"/>
  <c r="X162" i="1"/>
  <c r="X148" i="1"/>
  <c r="X117" i="1"/>
  <c r="X139" i="1"/>
  <c r="X6" i="1"/>
  <c r="X18" i="1"/>
  <c r="X170" i="1"/>
  <c r="Y170" i="1" s="1"/>
  <c r="X110" i="1"/>
  <c r="V36" i="1"/>
  <c r="W70" i="1"/>
  <c r="Y70" i="1" s="1"/>
  <c r="V24" i="1"/>
  <c r="W199" i="1"/>
  <c r="X143" i="1"/>
  <c r="W146" i="1"/>
  <c r="W223" i="1"/>
  <c r="X174" i="1"/>
  <c r="X223" i="1"/>
  <c r="X52" i="1"/>
  <c r="X88" i="1"/>
  <c r="Y88" i="1" s="1"/>
  <c r="V167" i="1"/>
  <c r="X15" i="1"/>
  <c r="Y15" i="1" s="1"/>
  <c r="X111" i="1"/>
  <c r="X24" i="1"/>
  <c r="Y24" i="1" s="1"/>
  <c r="X93" i="1"/>
  <c r="X228" i="1"/>
  <c r="Y228" i="1" s="1"/>
  <c r="X83" i="1"/>
  <c r="X219" i="1"/>
  <c r="X102" i="1"/>
  <c r="X50" i="1"/>
  <c r="V69" i="1"/>
  <c r="X74" i="1"/>
  <c r="X7" i="1"/>
  <c r="V182" i="1"/>
  <c r="V104" i="1"/>
  <c r="X105" i="1"/>
  <c r="Y105" i="1" s="1"/>
  <c r="X214" i="1"/>
  <c r="W174" i="1"/>
  <c r="W29" i="1"/>
  <c r="W219" i="1"/>
  <c r="V90" i="1"/>
  <c r="W66" i="1"/>
  <c r="X95" i="1"/>
  <c r="X123" i="1"/>
  <c r="Y123" i="1" s="1"/>
  <c r="X203" i="1"/>
  <c r="Y203" i="1" s="1"/>
  <c r="W190" i="1"/>
  <c r="V123" i="1"/>
  <c r="W74" i="1"/>
  <c r="X104" i="1"/>
  <c r="Y104" i="1" s="1"/>
  <c r="X41" i="1"/>
  <c r="X129" i="1"/>
  <c r="Y129" i="1" s="1"/>
  <c r="W14" i="1"/>
  <c r="V63" i="1"/>
  <c r="X69" i="1"/>
  <c r="Y69" i="1" s="1"/>
  <c r="X109" i="1"/>
  <c r="X62" i="1"/>
  <c r="Y62" i="1" s="1"/>
  <c r="X137" i="1"/>
  <c r="Y137" i="1" s="1"/>
  <c r="X127" i="1"/>
  <c r="X142" i="1"/>
  <c r="X101" i="1"/>
  <c r="X92" i="1"/>
  <c r="X34" i="1"/>
  <c r="Y34" i="1" s="1"/>
  <c r="X145" i="1"/>
  <c r="Y145" i="1" s="1"/>
  <c r="X157" i="1"/>
  <c r="X124" i="1"/>
  <c r="Y124" i="1" s="1"/>
  <c r="X177" i="1"/>
  <c r="V20" i="1"/>
  <c r="V3" i="1"/>
  <c r="W204" i="1"/>
  <c r="X78" i="1"/>
  <c r="X194" i="1"/>
  <c r="Y194" i="1" s="1"/>
  <c r="X171" i="1"/>
  <c r="X229" i="1"/>
  <c r="X59" i="1"/>
  <c r="X11" i="1"/>
  <c r="Y11" i="1" s="1"/>
  <c r="X29" i="1"/>
  <c r="X163" i="1"/>
  <c r="Y163" i="1" s="1"/>
  <c r="W2" i="1"/>
  <c r="X3" i="1"/>
  <c r="Y3" i="1" s="1"/>
  <c r="X178" i="1"/>
  <c r="V73" i="1"/>
  <c r="V170" i="1"/>
  <c r="V203" i="1"/>
  <c r="X36" i="1"/>
  <c r="Y36" i="1" s="1"/>
  <c r="W121" i="1"/>
  <c r="X225" i="1"/>
  <c r="X8" i="1"/>
  <c r="X49" i="1"/>
  <c r="X26" i="1"/>
  <c r="X204" i="1"/>
  <c r="X211" i="1"/>
  <c r="Y211" i="1" s="1"/>
  <c r="W92" i="1"/>
  <c r="X200" i="1"/>
  <c r="X116" i="1"/>
  <c r="V100" i="1"/>
  <c r="V86" i="1"/>
  <c r="Y98" i="1"/>
  <c r="X22" i="1"/>
  <c r="Y22" i="1" s="1"/>
  <c r="X184" i="1"/>
  <c r="X75" i="1"/>
  <c r="X82" i="1"/>
  <c r="V58" i="1"/>
  <c r="X218" i="1"/>
  <c r="X220" i="1"/>
  <c r="W31" i="1"/>
  <c r="X160" i="1"/>
  <c r="X103" i="1"/>
  <c r="Y103" i="1" s="1"/>
  <c r="X119" i="1"/>
  <c r="X38" i="1"/>
  <c r="Y38" i="1" s="1"/>
  <c r="X152" i="1"/>
  <c r="X212" i="1"/>
  <c r="X44" i="1"/>
  <c r="X68" i="1"/>
  <c r="X97" i="1"/>
  <c r="Y97" i="1" s="1"/>
  <c r="X154" i="1"/>
  <c r="X161" i="1"/>
  <c r="X227" i="1"/>
  <c r="W210" i="1"/>
  <c r="X190" i="1"/>
  <c r="V99" i="1"/>
  <c r="V105" i="1"/>
  <c r="X181" i="1"/>
  <c r="W23" i="1"/>
  <c r="X80" i="1"/>
  <c r="X173" i="1"/>
  <c r="X96" i="1"/>
  <c r="X176" i="1"/>
  <c r="W151" i="1"/>
  <c r="X146" i="1"/>
  <c r="X35" i="1"/>
  <c r="V228" i="1"/>
  <c r="X182" i="1"/>
  <c r="Y182" i="1" s="1"/>
  <c r="X180" i="1"/>
  <c r="Y180" i="1" s="1"/>
  <c r="W91" i="1"/>
  <c r="X195" i="1"/>
  <c r="X164" i="1"/>
  <c r="X221" i="1"/>
  <c r="W132" i="1"/>
  <c r="V129" i="1"/>
  <c r="W117" i="1"/>
  <c r="V114" i="1"/>
  <c r="X126" i="1"/>
  <c r="X210" i="1"/>
  <c r="X30" i="1"/>
  <c r="X4" i="1"/>
  <c r="V163" i="1"/>
  <c r="X66" i="1"/>
  <c r="X42" i="1"/>
  <c r="X17" i="1"/>
  <c r="X25" i="1"/>
  <c r="X132" i="1"/>
  <c r="V207" i="1"/>
  <c r="W207" i="1"/>
  <c r="W214" i="1"/>
  <c r="V214" i="1"/>
  <c r="W96" i="1"/>
  <c r="V96" i="1"/>
  <c r="W42" i="1"/>
  <c r="V42" i="1"/>
  <c r="W44" i="1"/>
  <c r="V44" i="1"/>
  <c r="W122" i="1"/>
  <c r="V122" i="1"/>
  <c r="V158" i="1"/>
  <c r="W158" i="1"/>
  <c r="W229" i="1"/>
  <c r="V229" i="1"/>
  <c r="X64" i="1"/>
  <c r="W215" i="1"/>
  <c r="V215" i="1"/>
  <c r="X224" i="1"/>
  <c r="Y224" i="1" s="1"/>
  <c r="V5" i="1"/>
  <c r="W5" i="1"/>
  <c r="X202" i="1"/>
  <c r="X84" i="1"/>
  <c r="V7" i="1"/>
  <c r="W7" i="1"/>
  <c r="V8" i="1"/>
  <c r="W8" i="1"/>
  <c r="W147" i="1"/>
  <c r="V147" i="1"/>
  <c r="X215" i="1"/>
  <c r="W139" i="1"/>
  <c r="V139" i="1"/>
  <c r="V68" i="1"/>
  <c r="W68" i="1"/>
  <c r="W212" i="1"/>
  <c r="V212" i="1"/>
  <c r="X118" i="1"/>
  <c r="Y118" i="1" s="1"/>
  <c r="X48" i="1"/>
  <c r="X205" i="1"/>
  <c r="Y205" i="1" s="1"/>
  <c r="X91" i="1"/>
  <c r="X193" i="1"/>
  <c r="X89" i="1"/>
  <c r="W188" i="1"/>
  <c r="V188" i="1"/>
  <c r="X122" i="1"/>
  <c r="V198" i="1"/>
  <c r="W198" i="1"/>
  <c r="W128" i="1"/>
  <c r="V128" i="1"/>
  <c r="X71" i="1"/>
  <c r="Y71" i="1" s="1"/>
  <c r="X5" i="1"/>
  <c r="W140" i="1"/>
  <c r="V140" i="1"/>
  <c r="V130" i="1"/>
  <c r="W130" i="1"/>
  <c r="W87" i="1"/>
  <c r="V87" i="1"/>
  <c r="V111" i="1"/>
  <c r="W111" i="1"/>
  <c r="V164" i="1"/>
  <c r="W164" i="1"/>
  <c r="W112" i="1"/>
  <c r="V112" i="1"/>
  <c r="W10" i="1"/>
  <c r="V10" i="1"/>
  <c r="V54" i="1"/>
  <c r="W54" i="1"/>
  <c r="W134" i="1"/>
  <c r="V134" i="1"/>
  <c r="V189" i="1"/>
  <c r="W189" i="1"/>
  <c r="W6" i="1"/>
  <c r="V6" i="1"/>
  <c r="X47" i="1"/>
  <c r="Y47" i="1" s="1"/>
  <c r="V37" i="1"/>
  <c r="W37" i="1"/>
  <c r="V142" i="1"/>
  <c r="W142" i="1"/>
  <c r="W208" i="1"/>
  <c r="V208" i="1"/>
  <c r="X192" i="1"/>
  <c r="X27" i="1"/>
  <c r="X217" i="1"/>
  <c r="Y217" i="1" s="1"/>
  <c r="V192" i="1"/>
  <c r="W192" i="1"/>
  <c r="X130" i="1"/>
  <c r="W227" i="1"/>
  <c r="V227" i="1"/>
  <c r="X168" i="1"/>
  <c r="W89" i="1"/>
  <c r="V89" i="1"/>
  <c r="X108" i="1"/>
  <c r="V162" i="1"/>
  <c r="W162" i="1"/>
  <c r="X33" i="1"/>
  <c r="X94" i="1"/>
  <c r="V45" i="1"/>
  <c r="W45" i="1"/>
  <c r="W21" i="1"/>
  <c r="V21" i="1"/>
  <c r="W154" i="1"/>
  <c r="V154" i="1"/>
  <c r="W126" i="1"/>
  <c r="V126" i="1"/>
  <c r="X172" i="1"/>
  <c r="W19" i="1"/>
  <c r="V19" i="1"/>
  <c r="V18" i="1"/>
  <c r="W18" i="1"/>
  <c r="V48" i="1"/>
  <c r="W48" i="1"/>
  <c r="X90" i="1"/>
  <c r="Y90" i="1" s="1"/>
  <c r="V218" i="1"/>
  <c r="W218" i="1"/>
  <c r="X131" i="1"/>
  <c r="Y131" i="1" s="1"/>
  <c r="X65" i="1"/>
  <c r="Y65" i="1" s="1"/>
  <c r="W200" i="1"/>
  <c r="V200" i="1"/>
  <c r="W108" i="1"/>
  <c r="V108" i="1"/>
  <c r="W16" i="1"/>
  <c r="V16" i="1"/>
  <c r="W52" i="1"/>
  <c r="V52" i="1"/>
  <c r="W26" i="1"/>
  <c r="V26" i="1"/>
  <c r="V225" i="1"/>
  <c r="W225" i="1"/>
  <c r="X54" i="1"/>
  <c r="W216" i="1"/>
  <c r="V216" i="1"/>
  <c r="W9" i="1"/>
  <c r="V9" i="1"/>
  <c r="W150" i="1"/>
  <c r="V150" i="1"/>
  <c r="X226" i="1"/>
  <c r="Y226" i="1" s="1"/>
  <c r="V172" i="1"/>
  <c r="W172" i="1"/>
  <c r="X12" i="1"/>
  <c r="W221" i="1"/>
  <c r="V221" i="1"/>
  <c r="W197" i="1"/>
  <c r="V197" i="1"/>
  <c r="X216" i="1"/>
  <c r="X156" i="1"/>
  <c r="Y156" i="1" s="1"/>
  <c r="Y99" i="1"/>
  <c r="V195" i="1"/>
  <c r="W195" i="1"/>
  <c r="X150" i="1"/>
  <c r="X39" i="1"/>
  <c r="W46" i="1"/>
  <c r="V46" i="1"/>
  <c r="X134" i="1"/>
  <c r="W173" i="1"/>
  <c r="V173" i="1"/>
  <c r="V33" i="1"/>
  <c r="W33" i="1"/>
  <c r="V39" i="1"/>
  <c r="W39" i="1"/>
  <c r="V94" i="1"/>
  <c r="W94" i="1"/>
  <c r="X13" i="1"/>
  <c r="Y13" i="1" s="1"/>
  <c r="X115" i="1"/>
  <c r="Y115" i="1" s="1"/>
  <c r="X45" i="1"/>
  <c r="V67" i="1"/>
  <c r="W67" i="1"/>
  <c r="X186" i="1"/>
  <c r="Y186" i="1" s="1"/>
  <c r="W166" i="1"/>
  <c r="V166" i="1"/>
  <c r="W53" i="1"/>
  <c r="V53" i="1"/>
  <c r="V165" i="1"/>
  <c r="W165" i="1"/>
  <c r="W30" i="1"/>
  <c r="V30" i="1"/>
  <c r="W161" i="1"/>
  <c r="V161" i="1"/>
  <c r="W152" i="1"/>
  <c r="V152" i="1"/>
  <c r="V171" i="1"/>
  <c r="W171" i="1"/>
  <c r="W153" i="1"/>
  <c r="V153" i="1"/>
  <c r="V191" i="1"/>
  <c r="W191" i="1"/>
  <c r="W27" i="1"/>
  <c r="V27" i="1"/>
  <c r="W176" i="1"/>
  <c r="V176" i="1"/>
  <c r="W148" i="1"/>
  <c r="V148" i="1"/>
  <c r="V168" i="1"/>
  <c r="W168" i="1"/>
  <c r="X209" i="1"/>
  <c r="Y209" i="1" s="1"/>
  <c r="X43" i="1"/>
  <c r="Y43" i="1" s="1"/>
  <c r="W125" i="1"/>
  <c r="V125" i="1"/>
  <c r="W59" i="1"/>
  <c r="V59" i="1"/>
  <c r="W184" i="1"/>
  <c r="V184" i="1"/>
  <c r="V28" i="1"/>
  <c r="W28" i="1"/>
  <c r="W17" i="1"/>
  <c r="V17" i="1"/>
  <c r="X32" i="1"/>
  <c r="W51" i="1"/>
  <c r="V51" i="1"/>
  <c r="V201" i="1"/>
  <c r="W201" i="1"/>
  <c r="X138" i="1"/>
  <c r="Y138" i="1" s="1"/>
  <c r="X183" i="1"/>
  <c r="X87" i="1"/>
  <c r="V157" i="1"/>
  <c r="W157" i="1"/>
  <c r="X149" i="1"/>
  <c r="W109" i="1"/>
  <c r="V109" i="1"/>
  <c r="W41" i="1"/>
  <c r="V41" i="1"/>
  <c r="X21" i="1"/>
  <c r="X128" i="1"/>
  <c r="X9" i="1"/>
  <c r="X37" i="1"/>
  <c r="X141" i="1"/>
  <c r="X57" i="1"/>
  <c r="W64" i="1"/>
  <c r="V64" i="1"/>
  <c r="X175" i="1"/>
  <c r="W116" i="1"/>
  <c r="V116" i="1"/>
  <c r="X125" i="1"/>
  <c r="W61" i="1"/>
  <c r="V61" i="1"/>
  <c r="V141" i="1"/>
  <c r="W141" i="1"/>
  <c r="V175" i="1"/>
  <c r="W175" i="1"/>
  <c r="X198" i="1"/>
  <c r="W25" i="1"/>
  <c r="V25" i="1"/>
  <c r="W83" i="1"/>
  <c r="V83" i="1"/>
  <c r="X187" i="1"/>
  <c r="W95" i="1"/>
  <c r="V95" i="1"/>
  <c r="X85" i="1"/>
  <c r="V113" i="1"/>
  <c r="W113" i="1"/>
  <c r="W178" i="1"/>
  <c r="V178" i="1"/>
  <c r="W220" i="1"/>
  <c r="V220" i="1"/>
  <c r="X222" i="1"/>
  <c r="Y222" i="1" s="1"/>
  <c r="X153" i="1"/>
  <c r="W144" i="1"/>
  <c r="V144" i="1"/>
  <c r="W177" i="1"/>
  <c r="V177" i="1"/>
  <c r="W149" i="1"/>
  <c r="V149" i="1"/>
  <c r="X113" i="1"/>
  <c r="X77" i="1"/>
  <c r="Y77" i="1" s="1"/>
  <c r="X207" i="1"/>
  <c r="V79" i="1"/>
  <c r="W79" i="1"/>
  <c r="V135" i="1"/>
  <c r="W135" i="1"/>
  <c r="W32" i="1"/>
  <c r="V32" i="1"/>
  <c r="X179" i="1"/>
  <c r="Y179" i="1" s="1"/>
  <c r="X16" i="1"/>
  <c r="W75" i="1"/>
  <c r="V75" i="1"/>
  <c r="X10" i="1"/>
  <c r="V49" i="1"/>
  <c r="W49" i="1"/>
  <c r="W206" i="1"/>
  <c r="V206" i="1"/>
  <c r="X55" i="1"/>
  <c r="Y55" i="1" s="1"/>
  <c r="X144" i="1"/>
  <c r="X201" i="1"/>
  <c r="W81" i="1"/>
  <c r="V81" i="1"/>
  <c r="V193" i="1"/>
  <c r="W193" i="1"/>
  <c r="V127" i="1"/>
  <c r="W127" i="1"/>
  <c r="X133" i="1"/>
  <c r="Y133" i="1" s="1"/>
  <c r="X106" i="1"/>
  <c r="Y106" i="1" s="1"/>
  <c r="W78" i="1"/>
  <c r="V78" i="1"/>
  <c r="W57" i="1"/>
  <c r="V57" i="1"/>
  <c r="W84" i="1"/>
  <c r="V84" i="1"/>
  <c r="Y85" i="1"/>
  <c r="X112" i="1"/>
  <c r="W4" i="1"/>
  <c r="V4" i="1"/>
  <c r="W80" i="1"/>
  <c r="V80" i="1"/>
  <c r="V12" i="1"/>
  <c r="W12" i="1"/>
  <c r="X46" i="1"/>
  <c r="W82" i="1"/>
  <c r="V82" i="1"/>
  <c r="X107" i="1"/>
  <c r="W181" i="1"/>
  <c r="V181" i="1"/>
  <c r="X158" i="1"/>
  <c r="X79" i="1"/>
  <c r="X135" i="1"/>
  <c r="V202" i="1"/>
  <c r="W202" i="1"/>
  <c r="V183" i="1"/>
  <c r="W183" i="1"/>
  <c r="X53" i="1"/>
  <c r="X60" i="1"/>
  <c r="Y60" i="1" s="1"/>
  <c r="X165" i="1"/>
  <c r="X61" i="1"/>
  <c r="W160" i="1"/>
  <c r="V160" i="1"/>
  <c r="X213" i="1"/>
  <c r="Y213" i="1" s="1"/>
  <c r="W107" i="1"/>
  <c r="V107" i="1"/>
  <c r="X136" i="1"/>
  <c r="Y136" i="1" s="1"/>
  <c r="W101" i="1"/>
  <c r="V101" i="1"/>
  <c r="X51" i="1"/>
  <c r="W143" i="1"/>
  <c r="V143" i="1"/>
  <c r="X206" i="1"/>
  <c r="X191" i="1"/>
  <c r="Y140" i="1" l="1"/>
  <c r="Y31" i="1"/>
  <c r="Y76" i="1"/>
  <c r="Y2" i="1"/>
  <c r="Y227" i="1"/>
  <c r="Y215" i="1"/>
  <c r="Y50" i="1"/>
  <c r="Y187" i="1"/>
  <c r="Y121" i="1"/>
  <c r="Y151" i="1"/>
  <c r="Y197" i="1"/>
  <c r="Y35" i="1"/>
  <c r="Y18" i="1"/>
  <c r="Y219" i="1"/>
  <c r="Y120" i="1"/>
  <c r="Y102" i="1"/>
  <c r="Y81" i="1"/>
  <c r="Y199" i="1"/>
  <c r="Y110" i="1"/>
  <c r="Y146" i="1"/>
  <c r="Y117" i="1"/>
  <c r="Y139" i="1"/>
  <c r="Y93" i="1"/>
  <c r="Y6" i="1"/>
  <c r="Y126" i="1"/>
  <c r="Y189" i="1"/>
  <c r="Y119" i="1"/>
  <c r="Y162" i="1"/>
  <c r="Y28" i="1"/>
  <c r="Y208" i="1"/>
  <c r="Y94" i="1"/>
  <c r="Y166" i="1"/>
  <c r="Y66" i="1"/>
  <c r="Y223" i="1"/>
  <c r="Y148" i="1"/>
  <c r="Y142" i="1"/>
  <c r="Y67" i="1"/>
  <c r="Y168" i="1"/>
  <c r="Y23" i="1"/>
  <c r="Y225" i="1"/>
  <c r="Y143" i="1"/>
  <c r="Y14" i="1"/>
  <c r="Y188" i="1"/>
  <c r="Y83" i="1"/>
  <c r="Y174" i="1"/>
  <c r="Y147" i="1"/>
  <c r="Y80" i="1"/>
  <c r="Y108" i="1"/>
  <c r="Y19" i="1"/>
  <c r="Y7" i="1"/>
  <c r="Y177" i="1"/>
  <c r="Y206" i="1"/>
  <c r="Y52" i="1"/>
  <c r="Y176" i="1"/>
  <c r="Y29" i="1"/>
  <c r="Y111" i="1"/>
  <c r="Y4" i="1"/>
  <c r="Y178" i="1"/>
  <c r="Y26" i="1"/>
  <c r="Y160" i="1"/>
  <c r="Y74" i="1"/>
  <c r="Y92" i="1"/>
  <c r="Y204" i="1"/>
  <c r="Y157" i="1"/>
  <c r="Y127" i="1"/>
  <c r="Y49" i="1"/>
  <c r="Y220" i="1"/>
  <c r="Y116" i="1"/>
  <c r="Y190" i="1"/>
  <c r="Y214" i="1"/>
  <c r="Y210" i="1"/>
  <c r="Y41" i="1"/>
  <c r="Y33" i="1"/>
  <c r="Y95" i="1"/>
  <c r="Y218" i="1"/>
  <c r="Y101" i="1"/>
  <c r="Y109" i="1"/>
  <c r="Y5" i="1"/>
  <c r="Y75" i="1"/>
  <c r="Y212" i="1"/>
  <c r="Y68" i="1"/>
  <c r="Y202" i="1"/>
  <c r="Y229" i="1"/>
  <c r="Y8" i="1"/>
  <c r="Y171" i="1"/>
  <c r="Y59" i="1"/>
  <c r="Y200" i="1"/>
  <c r="Y132" i="1"/>
  <c r="Y152" i="1"/>
  <c r="Y173" i="1"/>
  <c r="Y96" i="1"/>
  <c r="Y183" i="1"/>
  <c r="Y78" i="1"/>
  <c r="Y184" i="1"/>
  <c r="Y82" i="1"/>
  <c r="Y46" i="1"/>
  <c r="Y89" i="1"/>
  <c r="Y84" i="1"/>
  <c r="Y32" i="1"/>
  <c r="Y16" i="1"/>
  <c r="Y195" i="1"/>
  <c r="Y39" i="1"/>
  <c r="Y221" i="1"/>
  <c r="Y130" i="1"/>
  <c r="Y91" i="1"/>
  <c r="Y64" i="1"/>
  <c r="Y153" i="1"/>
  <c r="Y172" i="1"/>
  <c r="Y122" i="1"/>
  <c r="Y193" i="1"/>
  <c r="Y161" i="1"/>
  <c r="Y25" i="1"/>
  <c r="Y44" i="1"/>
  <c r="Y17" i="1"/>
  <c r="Y154" i="1"/>
  <c r="Y87" i="1"/>
  <c r="Y45" i="1"/>
  <c r="Y149" i="1"/>
  <c r="Y125" i="1"/>
  <c r="Y150" i="1"/>
  <c r="Y164" i="1"/>
  <c r="Y181" i="1"/>
  <c r="Y158" i="1"/>
  <c r="Y30" i="1"/>
  <c r="Y175" i="1"/>
  <c r="Y42" i="1"/>
  <c r="Y21" i="1"/>
  <c r="Y37" i="1"/>
  <c r="Y53" i="1"/>
  <c r="Y9" i="1"/>
  <c r="Y216" i="1"/>
  <c r="Y48" i="1"/>
  <c r="Y134" i="1"/>
  <c r="Y128" i="1"/>
  <c r="Y79" i="1"/>
  <c r="Y54" i="1"/>
  <c r="Y198" i="1"/>
  <c r="Y144" i="1"/>
  <c r="Y165" i="1"/>
  <c r="Y201" i="1"/>
  <c r="Y10" i="1"/>
  <c r="Y192" i="1"/>
  <c r="Y57" i="1"/>
  <c r="Y27" i="1"/>
  <c r="Y51" i="1"/>
  <c r="Y191" i="1"/>
  <c r="Y207" i="1"/>
  <c r="Y141" i="1"/>
  <c r="Y61" i="1"/>
  <c r="Y135" i="1"/>
  <c r="Y113" i="1"/>
  <c r="Y12" i="1"/>
  <c r="Y107" i="1"/>
  <c r="Y112" i="1"/>
</calcChain>
</file>

<file path=xl/sharedStrings.xml><?xml version="1.0" encoding="utf-8"?>
<sst xmlns="http://schemas.openxmlformats.org/spreadsheetml/2006/main" count="498" uniqueCount="300">
  <si>
    <t>Team</t>
  </si>
  <si>
    <t>Name</t>
  </si>
  <si>
    <t>AB</t>
  </si>
  <si>
    <t>PA</t>
  </si>
  <si>
    <t>BABIP</t>
  </si>
  <si>
    <t>K%</t>
  </si>
  <si>
    <t>BB%</t>
  </si>
  <si>
    <t>H%</t>
  </si>
  <si>
    <t>1B%</t>
  </si>
  <si>
    <t>2B%</t>
  </si>
  <si>
    <t>3B%</t>
  </si>
  <si>
    <t>HR%</t>
  </si>
  <si>
    <t>R%</t>
  </si>
  <si>
    <t>RBI%</t>
  </si>
  <si>
    <t>IBB%</t>
  </si>
  <si>
    <t>HBP%</t>
  </si>
  <si>
    <t>SF%</t>
  </si>
  <si>
    <t>SB%</t>
  </si>
  <si>
    <t>CS%</t>
  </si>
  <si>
    <t>SH%</t>
  </si>
  <si>
    <t>ARI</t>
  </si>
  <si>
    <t>Alek Thomas</t>
  </si>
  <si>
    <t>Corbin Carroll</t>
  </si>
  <si>
    <t>Eugenio Suarez</t>
  </si>
  <si>
    <t>Gabriel Moreno</t>
  </si>
  <si>
    <t>Jake McCarthy</t>
  </si>
  <si>
    <t>Jordan Lawlar</t>
  </si>
  <si>
    <t>Josh Naylor</t>
  </si>
  <si>
    <t>Ketel Marte</t>
  </si>
  <si>
    <t>Lourdes Gurriel Jr.</t>
  </si>
  <si>
    <t>Pavin Smith</t>
  </si>
  <si>
    <t>ATH</t>
  </si>
  <si>
    <t>Brent Rooker</t>
  </si>
  <si>
    <t>Jacob Wilson</t>
  </si>
  <si>
    <t>JJ Bleday</t>
  </si>
  <si>
    <t>Lawrence Butler</t>
  </si>
  <si>
    <t>Shea Langeliers</t>
  </si>
  <si>
    <t>Tyler Soderstrom</t>
  </si>
  <si>
    <t>Zack Gelof</t>
  </si>
  <si>
    <t>ATL</t>
  </si>
  <si>
    <t>Austin Riley</t>
  </si>
  <si>
    <t>Drake Baldwin</t>
  </si>
  <si>
    <t>Jurickson Profar</t>
  </si>
  <si>
    <t>Marcell Ozuna</t>
  </si>
  <si>
    <t>Matt Olson</t>
  </si>
  <si>
    <t>Michael Harris II</t>
  </si>
  <si>
    <t>Ozzie Albies</t>
  </si>
  <si>
    <t>Ronald Acuna Jr.</t>
  </si>
  <si>
    <t>Sean Murphy</t>
  </si>
  <si>
    <t>BAL</t>
  </si>
  <si>
    <t>Adley Rutschman</t>
  </si>
  <si>
    <t>Cedric Mullins</t>
  </si>
  <si>
    <t>Coby Mayo</t>
  </si>
  <si>
    <t>Colton Cowser</t>
  </si>
  <si>
    <t>Gunnar Henderson</t>
  </si>
  <si>
    <t>Heston Kjerstad</t>
  </si>
  <si>
    <t>Jackson Holliday</t>
  </si>
  <si>
    <t>Jordan Westburg</t>
  </si>
  <si>
    <t>Ryan Mountcastle</t>
  </si>
  <si>
    <t>Ryan O'Hearn</t>
  </si>
  <si>
    <t>Tyler O'Neill</t>
  </si>
  <si>
    <t>BOS</t>
  </si>
  <si>
    <t>Ceddanne Rafaela</t>
  </si>
  <si>
    <t>Connor Wong</t>
  </si>
  <si>
    <t>Jarren Duran</t>
  </si>
  <si>
    <t>Kristian Campbell</t>
  </si>
  <si>
    <t>Masataka Yoshida</t>
  </si>
  <si>
    <t>Rafael Devers</t>
  </si>
  <si>
    <t>Roman Anthony</t>
  </si>
  <si>
    <t>Trevor Story</t>
  </si>
  <si>
    <t>Triston Casas</t>
  </si>
  <si>
    <t>Wilyer Abreu</t>
  </si>
  <si>
    <t>CHC</t>
  </si>
  <si>
    <t>Dansby Swanson</t>
  </si>
  <si>
    <t>Ian Happ</t>
  </si>
  <si>
    <t>Kyle Tucker</t>
  </si>
  <si>
    <t>Matt Shaw</t>
  </si>
  <si>
    <t>Michael Busch</t>
  </si>
  <si>
    <t>Nico Hoerner</t>
  </si>
  <si>
    <t>Seiya Suzuki</t>
  </si>
  <si>
    <t>CHW</t>
  </si>
  <si>
    <t>Andrew Vaughn</t>
  </si>
  <si>
    <t>Lenyn Sosa</t>
  </si>
  <si>
    <t>Luis Robert Jr.</t>
  </si>
  <si>
    <t>CIN</t>
  </si>
  <si>
    <t>Christian Encarnacion-Strand</t>
  </si>
  <si>
    <t>Elly De La Cruz</t>
  </si>
  <si>
    <t>Gavin Lux</t>
  </si>
  <si>
    <t>Jeimer Candelario</t>
  </si>
  <si>
    <t>Matt McLain</t>
  </si>
  <si>
    <t>Noelvi Marte</t>
  </si>
  <si>
    <t>Spencer Steer</t>
  </si>
  <si>
    <t>TJ Friedl</t>
  </si>
  <si>
    <t>Tyler Stephenson</t>
  </si>
  <si>
    <t>CLE</t>
  </si>
  <si>
    <t>Bo Naylor</t>
  </si>
  <si>
    <t>David Fry</t>
  </si>
  <si>
    <t>Jose Ramirez</t>
  </si>
  <si>
    <t>Kyle Manzardo</t>
  </si>
  <si>
    <t>Lane Thomas</t>
  </si>
  <si>
    <t>Steven Kwan</t>
  </si>
  <si>
    <t>COL</t>
  </si>
  <si>
    <t>Brenton Doyle</t>
  </si>
  <si>
    <t>Ezequiel Tovar</t>
  </si>
  <si>
    <t>Michael Toglia</t>
  </si>
  <si>
    <t>Nolan Jones</t>
  </si>
  <si>
    <t>Ryan McMahon</t>
  </si>
  <si>
    <t>DET</t>
  </si>
  <si>
    <t>Colt Keith</t>
  </si>
  <si>
    <t>Gleyber Torres</t>
  </si>
  <si>
    <t>Jace Jung</t>
  </si>
  <si>
    <t>Kerry Carpenter</t>
  </si>
  <si>
    <t>Parker Meadows</t>
  </si>
  <si>
    <t>Riley Greene</t>
  </si>
  <si>
    <t>Spencer Torkelson</t>
  </si>
  <si>
    <t>HOU</t>
  </si>
  <si>
    <t>Christian Walker</t>
  </si>
  <si>
    <t>Isaac Paredes</t>
  </si>
  <si>
    <t>Jeremy Pena</t>
  </si>
  <si>
    <t>Jose Altuve</t>
  </si>
  <si>
    <t>Yainer Diaz</t>
  </si>
  <si>
    <t>Yordan Alvarez</t>
  </si>
  <si>
    <t>KCR</t>
  </si>
  <si>
    <t>Bobby Witt Jr.</t>
  </si>
  <si>
    <t>Jonathan India</t>
  </si>
  <si>
    <t>Maikel Garcia</t>
  </si>
  <si>
    <t>MJ Melendez</t>
  </si>
  <si>
    <t>Salvador Perez</t>
  </si>
  <si>
    <t>Vinnie Pasquantino</t>
  </si>
  <si>
    <t>LAA</t>
  </si>
  <si>
    <t>Jo Adell</t>
  </si>
  <si>
    <t>Jorge Soler</t>
  </si>
  <si>
    <t>Logan O'Hoppe</t>
  </si>
  <si>
    <t>Luis Rengifo</t>
  </si>
  <si>
    <t>Mike Trout</t>
  </si>
  <si>
    <t>Nolan Schanuel</t>
  </si>
  <si>
    <t>Taylor Ward</t>
  </si>
  <si>
    <t>Zach Neto</t>
  </si>
  <si>
    <t>LAD</t>
  </si>
  <si>
    <t>Andy Pages</t>
  </si>
  <si>
    <t>Freddie Freeman</t>
  </si>
  <si>
    <t>Hyeseong Kim</t>
  </si>
  <si>
    <t>Max Muncy</t>
  </si>
  <si>
    <t>Michael Conforto</t>
  </si>
  <si>
    <t>Mookie Betts</t>
  </si>
  <si>
    <t>Shohei Ohtani</t>
  </si>
  <si>
    <t>Teoscar Hernandez</t>
  </si>
  <si>
    <t>Tommy Edman</t>
  </si>
  <si>
    <t>Will Smith</t>
  </si>
  <si>
    <t>MIA</t>
  </si>
  <si>
    <t>Connor Norby</t>
  </si>
  <si>
    <t>Deyvison De Los Santos</t>
  </si>
  <si>
    <t>Jesus Sanchez</t>
  </si>
  <si>
    <t>Xavier Edwards</t>
  </si>
  <si>
    <t>MIL</t>
  </si>
  <si>
    <t>Brice Turang</t>
  </si>
  <si>
    <t>Christian Yelich</t>
  </si>
  <si>
    <t>Garrett Mitchell</t>
  </si>
  <si>
    <t>Jackson Chourio</t>
  </si>
  <si>
    <t>Joey Ortiz</t>
  </si>
  <si>
    <t>Rhys Hoskins</t>
  </si>
  <si>
    <t>William Contreras</t>
  </si>
  <si>
    <t>MIN</t>
  </si>
  <si>
    <t>Brooks Lee</t>
  </si>
  <si>
    <t>Byron Buxton</t>
  </si>
  <si>
    <t>Carlos Correa</t>
  </si>
  <si>
    <t>Edouard Julien</t>
  </si>
  <si>
    <t>Matt Wallner</t>
  </si>
  <si>
    <t>Royce Lewis</t>
  </si>
  <si>
    <t>Ryan Jeffers</t>
  </si>
  <si>
    <t>Trevor Larnach</t>
  </si>
  <si>
    <t>Willi Castro</t>
  </si>
  <si>
    <t>NYM</t>
  </si>
  <si>
    <t>Brandon Nimmo</t>
  </si>
  <si>
    <t>Francisco Alvarez</t>
  </si>
  <si>
    <t>Francisco Lindor</t>
  </si>
  <si>
    <t>Jeff McNeil</t>
  </si>
  <si>
    <t>Jesse Winker</t>
  </si>
  <si>
    <t>Juan Soto</t>
  </si>
  <si>
    <t>Mark Vientos</t>
  </si>
  <si>
    <t>NYY</t>
  </si>
  <si>
    <t>Aaron Judge</t>
  </si>
  <si>
    <t>Anthony Volpe</t>
  </si>
  <si>
    <t>Austin Wells</t>
  </si>
  <si>
    <t>Cody Bellinger</t>
  </si>
  <si>
    <t>Giancarlo Stanton</t>
  </si>
  <si>
    <t>Jasson Dominguez</t>
  </si>
  <si>
    <t>Jazz Chisholm Jr.</t>
  </si>
  <si>
    <t>Paul Goldschmidt</t>
  </si>
  <si>
    <t>PHI</t>
  </si>
  <si>
    <t>Alec Bohm</t>
  </si>
  <si>
    <t>Brandon Marsh</t>
  </si>
  <si>
    <t>Bryce Harper</t>
  </si>
  <si>
    <t>Bryson Stott</t>
  </si>
  <si>
    <t>J.T. Realmuto</t>
  </si>
  <si>
    <t>Kyle Schwarber</t>
  </si>
  <si>
    <t>Max Kepler</t>
  </si>
  <si>
    <t>Nick Castellanos</t>
  </si>
  <si>
    <t>Trea Turner</t>
  </si>
  <si>
    <t>PIT</t>
  </si>
  <si>
    <t>Bryan Reynolds</t>
  </si>
  <si>
    <t>Endy Rodriguez</t>
  </si>
  <si>
    <t>Joey Bart</t>
  </si>
  <si>
    <t>Ke'Bryan Hayes</t>
  </si>
  <si>
    <t>Oneil Cruz</t>
  </si>
  <si>
    <t>Spencer Horwitz</t>
  </si>
  <si>
    <t>SDP</t>
  </si>
  <si>
    <t>Fernando Tatis Jr.</t>
  </si>
  <si>
    <t>Jackson Merrill</t>
  </si>
  <si>
    <t>Jake Cronenworth</t>
  </si>
  <si>
    <t>Luis Arraez</t>
  </si>
  <si>
    <t>Luis Campusano</t>
  </si>
  <si>
    <t>Manny Machado</t>
  </si>
  <si>
    <t>Xander Bogaerts</t>
  </si>
  <si>
    <t>SEA</t>
  </si>
  <si>
    <t>Cal Raleigh</t>
  </si>
  <si>
    <t>Dominic Canzone</t>
  </si>
  <si>
    <t>J.P. Crawford</t>
  </si>
  <si>
    <t>Jorge Polanco</t>
  </si>
  <si>
    <t>Julio Rodriguez</t>
  </si>
  <si>
    <t>Luke Raley</t>
  </si>
  <si>
    <t>Randy Arozarena</t>
  </si>
  <si>
    <t>Victor Robles</t>
  </si>
  <si>
    <t>SFG</t>
  </si>
  <si>
    <t>Heliot Ramos</t>
  </si>
  <si>
    <t>Jung Hoo Lee</t>
  </si>
  <si>
    <t>Matt Chapman</t>
  </si>
  <si>
    <t>Tyler Fitzgerald</t>
  </si>
  <si>
    <t>Willy Adames</t>
  </si>
  <si>
    <t>STL</t>
  </si>
  <si>
    <t>Alec Burleson</t>
  </si>
  <si>
    <t>Brendan Donovan</t>
  </si>
  <si>
    <t>Ivan Herrera</t>
  </si>
  <si>
    <t>Jordan Walker</t>
  </si>
  <si>
    <t>Lars Nootbaar</t>
  </si>
  <si>
    <t>Masyn Winn</t>
  </si>
  <si>
    <t>Nolan Arenado</t>
  </si>
  <si>
    <t>Nolan Gorman</t>
  </si>
  <si>
    <t>Willson Contreras</t>
  </si>
  <si>
    <t>TBR</t>
  </si>
  <si>
    <t>Brandon Lowe</t>
  </si>
  <si>
    <t>Christopher Morel</t>
  </si>
  <si>
    <t>Ha-Seong Kim</t>
  </si>
  <si>
    <t>Jonathan Aranda</t>
  </si>
  <si>
    <t>Jose Caballero</t>
  </si>
  <si>
    <t>Josh Lowe</t>
  </si>
  <si>
    <t>Junior Caminero</t>
  </si>
  <si>
    <t>Yandy Diaz</t>
  </si>
  <si>
    <t>TEX</t>
  </si>
  <si>
    <t>Adolis Garcia</t>
  </si>
  <si>
    <t>Corey Seager</t>
  </si>
  <si>
    <t>Evan Carter</t>
  </si>
  <si>
    <t>Jake Burger</t>
  </si>
  <si>
    <t>Joc Pederson</t>
  </si>
  <si>
    <t>Josh Jung</t>
  </si>
  <si>
    <t>Marcus Semien</t>
  </si>
  <si>
    <t>Wyatt Langford</t>
  </si>
  <si>
    <t>TOR</t>
  </si>
  <si>
    <t>Alejandro Kirk</t>
  </si>
  <si>
    <t>Andres Gimenez</t>
  </si>
  <si>
    <t>Anthony Santander</t>
  </si>
  <si>
    <t>Bo Bichette</t>
  </si>
  <si>
    <t>Daulton Varsho</t>
  </si>
  <si>
    <t>Davis Schneider</t>
  </si>
  <si>
    <t>George Springer</t>
  </si>
  <si>
    <t>Orelvis Martinez</t>
  </si>
  <si>
    <t>Vladimir Guerrero Jr.</t>
  </si>
  <si>
    <t>WSN</t>
  </si>
  <si>
    <t>CJ Abrams</t>
  </si>
  <si>
    <t>Dylan Crews</t>
  </si>
  <si>
    <t>James Wood</t>
  </si>
  <si>
    <t>Josh Bell</t>
  </si>
  <si>
    <t>Keibert Ruiz</t>
  </si>
  <si>
    <t>Luis Garcia Jr.</t>
  </si>
  <si>
    <t>Nathaniel Lowe</t>
  </si>
  <si>
    <t>Alex Bregman</t>
  </si>
  <si>
    <t>Brendan Rodgers</t>
  </si>
  <si>
    <t>Pete Alonso</t>
  </si>
  <si>
    <t>H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</si>
  <si>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</si>
  <si>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</si>
  <si>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</si>
  <si>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</si>
  <si>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</si>
  <si>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</si>
  <si>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</si>
  <si>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</si>
  <si>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</si>
  <si>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</si>
  <si>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</si>
  <si>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</si>
  <si>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SB</t>
  </si>
  <si>
    <t>CS</t>
  </si>
  <si>
    <t>HIP</t>
  </si>
  <si>
    <t>NSB</t>
  </si>
  <si>
    <t>AVG</t>
  </si>
  <si>
    <t>OBP</t>
  </si>
  <si>
    <t>SLG</t>
  </si>
  <si>
    <t>OPS</t>
  </si>
  <si>
    <t>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</si>
</sst>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EC46-3D9C-41D1-A99B-A9DC51B770AC}">
  <dimension ref="A1:AQ229"/>
  <sheetViews>
    <sheetView tabSelected="1" zoomScaleNormal="100" workbookViewId="0">
      <pane ySplit="1" topLeftCell="A2" activePane="bottomLeft" state="frozen"/>
      <selection pane="bottomLeft" activeCell="E15" sqref="E15"/>
    </sheetView>
  </sheetViews>
  <sheetFormatPr defaultColWidth="8.84375" defaultRowHeight="14.6" x14ac:dyDescent="0.4"/>
  <cols>
    <col min="3" max="3" width="8.84375" style="4"/>
  </cols>
  <sheetData>
    <row r="1" spans="1:43" x14ac:dyDescent="0.4">
      <c r="A1" t="s">
        <v>0</v>
      </c>
      <c r="B1" t="s">
        <v>1</v>
      </c>
      <c r="C1" s="4" t="s">
        <v>299</v>
      </c>
      <c r="D1" t="s">
        <v>2</v>
      </c>
      <c r="E1" t="s">
        <v>3</v>
      </c>
      <c r="F1" t="s">
        <v>278</v>
      </c>
      <c r="G1" t="s">
        <v>279</v>
      </c>
      <c r="H1" t="s">
        <v>280</v>
      </c>
      <c r="I1" t="s">
        <v>281</v>
      </c>
      <c r="J1" t="s">
        <v>282</v>
      </c>
      <c r="K1" t="s">
        <v>283</v>
      </c>
      <c r="L1" t="s">
        <v>284</v>
      </c>
      <c r="M1" t="s">
        <v>285</v>
      </c>
      <c r="N1" t="s">
        <v>286</v>
      </c>
      <c r="O1" t="s">
        <v>287</v>
      </c>
      <c r="P1" t="s">
        <v>288</v>
      </c>
      <c r="Q1" t="s">
        <v>289</v>
      </c>
      <c r="R1" t="s">
        <v>290</v>
      </c>
      <c r="S1" t="s">
        <v>291</v>
      </c>
      <c r="T1" t="s">
        <v>292</v>
      </c>
      <c r="U1" t="s">
        <v>294</v>
      </c>
      <c r="V1" t="s">
        <v>295</v>
      </c>
      <c r="W1" t="s">
        <v>296</v>
      </c>
      <c r="X1" t="s">
        <v>297</v>
      </c>
      <c r="Y1" t="s">
        <v>298</v>
      </c>
      <c r="Z1" t="s">
        <v>4</v>
      </c>
      <c r="AA1" t="s">
        <v>5</v>
      </c>
      <c r="AB1" t="s">
        <v>6</v>
      </c>
      <c r="AD1" t="s">
        <v>293</v>
      </c>
      <c r="AE1" t="s">
        <v>7</v>
      </c>
      <c r="AF1" t="s">
        <v>8</v>
      </c>
      <c r="AG1" t="s">
        <v>9</v>
      </c>
      <c r="AH1" t="s">
        <v>10</v>
      </c>
      <c r="AI1" t="s">
        <v>11</v>
      </c>
      <c r="AJ1" t="s">
        <v>12</v>
      </c>
      <c r="AK1" t="s">
        <v>13</v>
      </c>
      <c r="AL1" t="s">
        <v>14</v>
      </c>
      <c r="AM1" t="s">
        <v>15</v>
      </c>
      <c r="AN1" t="s">
        <v>16</v>
      </c>
      <c r="AO1" t="s">
        <v>17</v>
      </c>
      <c r="AP1" t="s">
        <v>18</v>
      </c>
      <c r="AQ1" t="s">
        <v>19</v>
      </c>
    </row>
    <row r="2" spans="1:43" x14ac:dyDescent="0.4">
      <c r="A2" t="s">
        <v>138</v>
      </c>
      <c r="B2" t="s">
        <v>145</v>
      </c>
      <c r="C2" s="4">
        <f>K2*1.9+G2*2.6+H2*5.2+I2*7.8+J2*10.4+L2*1.9+S2*4.2+M2*2.6+P2*2.6</f>
        <v>1636.2905106666512</v>
      </c>
      <c r="D2" s="2">
        <f>E2-M2-P2-Q2-R2</f>
        <v>554.89854638321845</v>
      </c>
      <c r="E2">
        <v>645</v>
      </c>
      <c r="F2" s="2">
        <f>AD2+J2</f>
        <v>158.94196139320346</v>
      </c>
      <c r="G2" s="2">
        <f>$AD2*AF2</f>
        <v>82.67782030199902</v>
      </c>
      <c r="H2" s="2">
        <f>$AD2*AG2</f>
        <v>30.879667823638137</v>
      </c>
      <c r="I2" s="2">
        <f>$AD2*AH2</f>
        <v>5.3589491300333831</v>
      </c>
      <c r="J2" s="2">
        <f>$E2*AI2</f>
        <v>41.399999999999935</v>
      </c>
      <c r="K2" s="2">
        <f>$E2*AJ2</f>
        <v>117.1419354838705</v>
      </c>
      <c r="L2" s="2">
        <f>$E2*AK2</f>
        <v>104.99999999999962</v>
      </c>
      <c r="M2" s="2">
        <f>$E2*(AB2/100)</f>
        <v>80.727188910899358</v>
      </c>
      <c r="N2" s="2">
        <f>$E2*AL2</f>
        <v>10.390783410138202</v>
      </c>
      <c r="O2" s="2">
        <f>$E2*(AA2/100)</f>
        <v>148.6175114925</v>
      </c>
      <c r="P2" s="2">
        <f>$E2*AM2</f>
        <v>4.9742647058823337</v>
      </c>
      <c r="Q2" s="2">
        <f>$E2*AN2</f>
        <v>3.9999999999999361</v>
      </c>
      <c r="R2" s="2">
        <f>$E2*AQ2</f>
        <v>0.39999999999999358</v>
      </c>
      <c r="S2" s="2">
        <f>$E2*AO2</f>
        <v>34.166820276497653</v>
      </c>
      <c r="T2" s="2">
        <f>$E2*AP2</f>
        <v>7.7944700460828624</v>
      </c>
      <c r="U2" s="2">
        <f>S2-T2</f>
        <v>26.372350230414789</v>
      </c>
      <c r="V2" s="1">
        <f>F2/D2</f>
        <v>0.28643427240740427</v>
      </c>
      <c r="W2" s="1">
        <f>(F2+M2+N2+P2)/(D2+M2+N2+Q2)</f>
        <v>0.39235033430920951</v>
      </c>
      <c r="X2" s="1">
        <f>(G2+H2*2+I2*3+J2*4)/D2</f>
        <v>0.58770023000593263</v>
      </c>
      <c r="Y2" s="1">
        <f>W2+X2</f>
        <v>0.98005056431514215</v>
      </c>
      <c r="Z2">
        <v>0.31864463139999999</v>
      </c>
      <c r="AA2">
        <v>23.041474650000001</v>
      </c>
      <c r="AB2">
        <v>12.5158432419999</v>
      </c>
      <c r="AD2" s="2">
        <f>(D2-O2-J2+Q2)*Z2</f>
        <v>117.54196139320352</v>
      </c>
      <c r="AE2">
        <v>0.24578588200000001</v>
      </c>
      <c r="AF2">
        <v>0.70338983050847403</v>
      </c>
      <c r="AG2">
        <v>0.26271186440677902</v>
      </c>
      <c r="AH2">
        <v>4.5591796040450001E-2</v>
      </c>
      <c r="AI2">
        <v>6.4186046511627806E-2</v>
      </c>
      <c r="AJ2">
        <v>0.181615403850962</v>
      </c>
      <c r="AK2">
        <v>0.16279069767441801</v>
      </c>
      <c r="AL2">
        <v>1.6109741721144499E-2</v>
      </c>
      <c r="AM2">
        <v>7.71203830369354E-3</v>
      </c>
      <c r="AN2">
        <v>6.2015503875968003E-3</v>
      </c>
      <c r="AO2">
        <v>5.2971814382166901E-2</v>
      </c>
      <c r="AP2">
        <v>1.20844496838494E-2</v>
      </c>
      <c r="AQ2">
        <v>6.2015503875967998E-4</v>
      </c>
    </row>
    <row r="3" spans="1:43" x14ac:dyDescent="0.4">
      <c r="A3" t="s">
        <v>180</v>
      </c>
      <c r="B3" t="s">
        <v>181</v>
      </c>
      <c r="C3" s="4">
        <f>K3*1.9+G3*2.6+H3*5.2+I3*7.8+J3*10.4+L3*1.9+S3*4.2+M3*2.6+P3*2.6</f>
        <v>1563.5153448069077</v>
      </c>
      <c r="D3" s="2">
        <f>E3-M3-P3-Q3-R3</f>
        <v>521.3092996191358</v>
      </c>
      <c r="E3">
        <v>638</v>
      </c>
      <c r="F3" s="2">
        <f>AD3+J3</f>
        <v>145.60798318283813</v>
      </c>
      <c r="G3" s="2">
        <f>$AD3*AF3</f>
        <v>72.593620297595336</v>
      </c>
      <c r="H3" s="2">
        <f>$AD3*AG3</f>
        <v>26.214362885242714</v>
      </c>
      <c r="I3" s="2">
        <f>$AD3*AH3</f>
        <v>0.99614578963921308</v>
      </c>
      <c r="J3" s="2">
        <f>$E3*AI3</f>
        <v>46.799999999999976</v>
      </c>
      <c r="K3" s="2">
        <f>$E3*AJ3</f>
        <v>105.61399416909595</v>
      </c>
      <c r="L3" s="2">
        <f>$E3*AK3</f>
        <v>114.99999999999964</v>
      </c>
      <c r="M3" s="2">
        <f>$E3*(AB3/100)</f>
        <v>106.18833817614001</v>
      </c>
      <c r="N3" s="2">
        <f>$E3*AL3</f>
        <v>10.795043731778353</v>
      </c>
      <c r="O3" s="2">
        <f>$E3*(AA3/100)</f>
        <v>165.5451895306</v>
      </c>
      <c r="P3" s="2">
        <f>$E3*AM3</f>
        <v>5.9023622047243789</v>
      </c>
      <c r="Q3" s="2">
        <f>$E3*AN3</f>
        <v>4.5999999999999543</v>
      </c>
      <c r="R3" s="2">
        <f>$E3*AQ3</f>
        <v>0</v>
      </c>
      <c r="S3" s="2">
        <f>$E3*AO3</f>
        <v>7.9440233236150686</v>
      </c>
      <c r="T3" s="2">
        <f>$E3*AP3</f>
        <v>1.9860058309037798</v>
      </c>
      <c r="U3" s="2">
        <f>S3-T3</f>
        <v>5.9580174927112886</v>
      </c>
      <c r="V3" s="1">
        <f>F3/D3</f>
        <v>0.27931207689795307</v>
      </c>
      <c r="W3" s="1">
        <f>(F3+M3+N3+P3)/(D3+M3+N3+Q3)</f>
        <v>0.41763382133660548</v>
      </c>
      <c r="X3" s="1">
        <f>(G3+H3*2+I3*3+J3*4)/D3</f>
        <v>0.60465213965545728</v>
      </c>
      <c r="Y3" s="1">
        <f>W3+X3</f>
        <v>1.0222859609920627</v>
      </c>
      <c r="Z3">
        <v>0.31511254</v>
      </c>
      <c r="AA3">
        <v>25.947521869999999</v>
      </c>
      <c r="AB3">
        <v>16.643940152999999</v>
      </c>
      <c r="AD3" s="2">
        <f>(D3-O3-J3+Q3)*Z3</f>
        <v>98.807983182838143</v>
      </c>
      <c r="AE3">
        <v>0.22731368399999999</v>
      </c>
      <c r="AF3">
        <v>0.73469387755102</v>
      </c>
      <c r="AG3">
        <v>0.265306122448979</v>
      </c>
      <c r="AH3">
        <v>1.00816326530611E-2</v>
      </c>
      <c r="AI3">
        <v>7.3354231974921594E-2</v>
      </c>
      <c r="AJ3">
        <v>0.16553917581363001</v>
      </c>
      <c r="AK3">
        <v>0.180250783699059</v>
      </c>
      <c r="AL3">
        <v>1.6920131241031901E-2</v>
      </c>
      <c r="AM3">
        <v>9.2513514180632903E-3</v>
      </c>
      <c r="AN3">
        <v>7.2100313479623104E-3</v>
      </c>
      <c r="AO3">
        <v>1.24514472156976E-2</v>
      </c>
      <c r="AP3">
        <v>3.1128618039244198E-3</v>
      </c>
      <c r="AQ3">
        <v>0</v>
      </c>
    </row>
    <row r="4" spans="1:43" x14ac:dyDescent="0.4">
      <c r="A4" t="s">
        <v>122</v>
      </c>
      <c r="B4" t="s">
        <v>123</v>
      </c>
      <c r="C4" s="4">
        <f>K4*1.9+G4*2.6+H4*5.2+I4*7.8+J4*10.4+L4*1.9+S4*4.2+M4*2.6+P4*2.6</f>
        <v>1514.1716879939688</v>
      </c>
      <c r="D4" s="2">
        <f>E4-M4-P4-Q4-R4</f>
        <v>607.53119533209997</v>
      </c>
      <c r="E4">
        <v>668</v>
      </c>
      <c r="F4" s="2">
        <f>AD4+J4</f>
        <v>179.50551046318353</v>
      </c>
      <c r="G4" s="2">
        <f>$AD4*AF4</f>
        <v>105.50053107185316</v>
      </c>
      <c r="H4" s="2">
        <f>$AD4*AG4</f>
        <v>37.1763776157959</v>
      </c>
      <c r="I4" s="2">
        <f>$AD4*AH4</f>
        <v>8.0381357007126191</v>
      </c>
      <c r="J4" s="2">
        <f>$E4*AI4</f>
        <v>30.799999999999915</v>
      </c>
      <c r="K4" s="2">
        <f>$E4*AJ4</f>
        <v>106.69970845481035</v>
      </c>
      <c r="L4" s="2">
        <f>$E4*AK4</f>
        <v>95.99999999999973</v>
      </c>
      <c r="M4" s="2">
        <f>$E4*(AB4/100)</f>
        <v>48.068804667900004</v>
      </c>
      <c r="N4" s="2">
        <f>$E4*AL4</f>
        <v>4.9868804664722646</v>
      </c>
      <c r="O4" s="2">
        <f>$E4*(AA4/100)</f>
        <v>108.08746357359999</v>
      </c>
      <c r="P4" s="2">
        <f>$E4*AM4</f>
        <v>5.999999999999992</v>
      </c>
      <c r="Q4" s="2">
        <f>$E4*AN4</f>
        <v>5.999999999999992</v>
      </c>
      <c r="R4" s="2">
        <f>$E4*AQ4</f>
        <v>0.39999999999998609</v>
      </c>
      <c r="S4" s="2">
        <f>$E4*AO4</f>
        <v>32.816034985422704</v>
      </c>
      <c r="T4" s="2">
        <f>$E4*AP4</f>
        <v>10.071137026239054</v>
      </c>
      <c r="U4" s="2">
        <f>S4-T4</f>
        <v>22.74489795918365</v>
      </c>
      <c r="V4" s="1">
        <f>F4/D4</f>
        <v>0.29546714941124774</v>
      </c>
      <c r="W4" s="1">
        <f>(F4+M4+N4+P4)/(D4+M4+N4+Q4)</f>
        <v>0.35788462477781219</v>
      </c>
      <c r="X4" s="1">
        <f>(G4+H4*2+I4*3+J4*4)/D4</f>
        <v>0.53851999028089415</v>
      </c>
      <c r="Y4" s="1">
        <f>W4+X4</f>
        <v>0.89640461505870639</v>
      </c>
      <c r="Z4">
        <v>0.31329921900000002</v>
      </c>
      <c r="AA4">
        <v>16.180758019999999</v>
      </c>
      <c r="AB4">
        <v>7.1959288424999999</v>
      </c>
      <c r="AD4" s="2">
        <f>(D4-O4-J4+Q4)*Z4</f>
        <v>148.7055104631836</v>
      </c>
      <c r="AE4">
        <v>0.26882514699999999</v>
      </c>
      <c r="AF4">
        <v>0.70945945945945899</v>
      </c>
      <c r="AG4">
        <v>0.25</v>
      </c>
      <c r="AH4">
        <v>5.4054054054054002E-2</v>
      </c>
      <c r="AI4">
        <v>4.6107784431137597E-2</v>
      </c>
      <c r="AJ4">
        <v>0.15973010247726099</v>
      </c>
      <c r="AK4">
        <v>0.14371257485029901</v>
      </c>
      <c r="AL4">
        <v>7.4653899198686598E-3</v>
      </c>
      <c r="AM4">
        <v>8.9820359281437001E-3</v>
      </c>
      <c r="AN4">
        <v>8.9820359281437001E-3</v>
      </c>
      <c r="AO4">
        <v>4.9125800876381298E-2</v>
      </c>
      <c r="AP4">
        <v>1.5076552434489601E-2</v>
      </c>
      <c r="AQ4">
        <v>5.9880239520956001E-4</v>
      </c>
    </row>
    <row r="5" spans="1:43" x14ac:dyDescent="0.4">
      <c r="A5" t="s">
        <v>172</v>
      </c>
      <c r="B5" t="s">
        <v>178</v>
      </c>
      <c r="C5" s="4">
        <f>K5*1.9+G5*2.6+H5*5.2+I5*7.8+J5*10.4+L5*1.9+S5*4.2+M5*2.6+P5*2.6</f>
        <v>1496.5011208202225</v>
      </c>
      <c r="D5" s="2">
        <f>E5-M5-P5-Q5-R5</f>
        <v>537.23525874937729</v>
      </c>
      <c r="E5">
        <v>674</v>
      </c>
      <c r="F5" s="2">
        <f>AD5+J5</f>
        <v>146.47974649846404</v>
      </c>
      <c r="G5" s="2">
        <f>$AD5*AF5</f>
        <v>82.562671067011649</v>
      </c>
      <c r="H5" s="2">
        <f>$AD5*AG5</f>
        <v>28.11993662461602</v>
      </c>
      <c r="I5" s="2">
        <f>$AD5*AH5</f>
        <v>1.9946621711913393</v>
      </c>
      <c r="J5" s="2">
        <f>$E5*AI5</f>
        <v>33.999999999999957</v>
      </c>
      <c r="K5" s="2">
        <f>$E5*AJ5</f>
        <v>108.61399416909575</v>
      </c>
      <c r="L5" s="2">
        <f>$E5*AK5</f>
        <v>96</v>
      </c>
      <c r="M5" s="2">
        <f>$E5*(AB5/100)</f>
        <v>127.56384839347999</v>
      </c>
      <c r="N5" s="2">
        <f>$E5*AL5</f>
        <v>6.9877551020407598</v>
      </c>
      <c r="O5" s="2">
        <f>$E5*(AA5/100)</f>
        <v>110.04081631139998</v>
      </c>
      <c r="P5" s="2">
        <f>$E5*AM5</f>
        <v>4.8008928571428129</v>
      </c>
      <c r="Q5" s="2">
        <f>$E5*AN5</f>
        <v>3.9999999999999947</v>
      </c>
      <c r="R5" s="2">
        <f>$E5*AQ5</f>
        <v>0.39999999999998603</v>
      </c>
      <c r="S5" s="2">
        <f>$E5*AO5</f>
        <v>7.9860058309037454</v>
      </c>
      <c r="T5" s="2">
        <f>$E5*AP5</f>
        <v>3.0930029154518568</v>
      </c>
      <c r="U5" s="2">
        <f>S5-T5</f>
        <v>4.8930029154518886</v>
      </c>
      <c r="V5" s="1">
        <f>F5/D5</f>
        <v>0.27265475248116117</v>
      </c>
      <c r="W5" s="1">
        <f>(F5+M5+N5+P5)/(D5+M5+N5+Q5)</f>
        <v>0.42296211841351983</v>
      </c>
      <c r="X5" s="1">
        <f>(G5+H5*2+I5*3+J5*4)/D5</f>
        <v>0.52265097321321896</v>
      </c>
      <c r="Y5" s="1">
        <f>W5+X5</f>
        <v>0.94561309162673879</v>
      </c>
      <c r="Z5">
        <v>0.28318559999999998</v>
      </c>
      <c r="AA5">
        <v>16.326530609999999</v>
      </c>
      <c r="AB5">
        <v>18.926387001999998</v>
      </c>
      <c r="AD5" s="2">
        <f>(D5-O5-J5+Q5)*Z5</f>
        <v>112.47974649846408</v>
      </c>
      <c r="AE5">
        <v>0.22021017400000001</v>
      </c>
      <c r="AF5">
        <v>0.73402255639097702</v>
      </c>
      <c r="AG5">
        <v>0.25</v>
      </c>
      <c r="AH5">
        <v>1.7733522996680798E-2</v>
      </c>
      <c r="AI5">
        <v>5.0445103857566703E-2</v>
      </c>
      <c r="AJ5">
        <v>0.16114835930132901</v>
      </c>
      <c r="AK5">
        <v>0.14243323442136499</v>
      </c>
      <c r="AL5">
        <v>1.0367589172167299E-2</v>
      </c>
      <c r="AM5">
        <v>7.12298643492999E-3</v>
      </c>
      <c r="AN5">
        <v>5.9347181008902001E-3</v>
      </c>
      <c r="AO5">
        <v>1.18486733396198E-2</v>
      </c>
      <c r="AP5">
        <v>4.58902509710958E-3</v>
      </c>
      <c r="AQ5">
        <v>5.9347181008900004E-4</v>
      </c>
    </row>
    <row r="6" spans="1:43" x14ac:dyDescent="0.4">
      <c r="A6" t="s">
        <v>84</v>
      </c>
      <c r="B6" s="3" t="s">
        <v>86</v>
      </c>
      <c r="C6" s="4">
        <f>K6*1.9+G6*2.6+H6*5.2+I6*7.8+J6*10.4+L6*1.9+S6*4.2+M6*2.6+P6*2.6</f>
        <v>1434.403248318114</v>
      </c>
      <c r="D6" s="2">
        <f>E6-M6-P6-Q6-R6</f>
        <v>579.98259262363024</v>
      </c>
      <c r="E6">
        <v>648</v>
      </c>
      <c r="F6" s="2">
        <f>AD6+J6</f>
        <v>150.28348379162333</v>
      </c>
      <c r="G6" s="2">
        <f>$AD6*AF6</f>
        <v>88.039583213136652</v>
      </c>
      <c r="H6" s="2">
        <f>$AD6*AG6</f>
        <v>33.018618699442193</v>
      </c>
      <c r="I6" s="2">
        <f>$AD6*AH6</f>
        <v>6.7748568246111454</v>
      </c>
      <c r="J6" s="2">
        <f>$E6*AI6</f>
        <v>24.39999999999992</v>
      </c>
      <c r="K6" s="2">
        <f>$E6*AJ6</f>
        <v>99.050827067668806</v>
      </c>
      <c r="L6" s="2">
        <f>$E6*AK6</f>
        <v>76.999999999999886</v>
      </c>
      <c r="M6" s="2">
        <f>$E6*(AB6/100)</f>
        <v>59.141503761911991</v>
      </c>
      <c r="N6" s="2">
        <f>$E6*AL6</f>
        <v>2.3948872180450933</v>
      </c>
      <c r="O6" s="2">
        <f>$E6*(AA6/100)</f>
        <v>190.01503758959998</v>
      </c>
      <c r="P6" s="2">
        <f>$E6*AM6</f>
        <v>4.8903614457830997</v>
      </c>
      <c r="Q6" s="2">
        <f>$E6*AN6</f>
        <v>2.9999999999999809</v>
      </c>
      <c r="R6" s="2">
        <f>$E6*AQ6</f>
        <v>0.98554216867467981</v>
      </c>
      <c r="S6" s="2">
        <f>$E6*AO6</f>
        <v>53.861954887217976</v>
      </c>
      <c r="T6" s="2">
        <f>$E6*AP6</f>
        <v>12.164210526315722</v>
      </c>
      <c r="U6" s="2">
        <f>S6-T6</f>
        <v>41.697744360902256</v>
      </c>
      <c r="V6" s="1">
        <f>F6/D6</f>
        <v>0.25911723162551398</v>
      </c>
      <c r="W6" s="1">
        <f>(F6+M6+N6+P6)/(D6+M6+N6+Q6)</f>
        <v>0.33623561404771835</v>
      </c>
      <c r="X6" s="1">
        <f>(G6+H6*2+I6*3+J6*4)/D6</f>
        <v>0.46898199108945465</v>
      </c>
      <c r="Y6" s="1">
        <f>W6+X6</f>
        <v>0.805217605137173</v>
      </c>
      <c r="Z6">
        <v>0.34154792540000001</v>
      </c>
      <c r="AA6">
        <v>29.323308269999998</v>
      </c>
      <c r="AB6">
        <v>9.1267752718999997</v>
      </c>
      <c r="AD6" s="2">
        <f>(D6-O6-J6+Q6)*Z6</f>
        <v>125.88348379162341</v>
      </c>
      <c r="AE6">
        <v>0.22563182100000001</v>
      </c>
      <c r="AF6">
        <v>0.699373583899773</v>
      </c>
      <c r="AG6">
        <v>0.26229508196721302</v>
      </c>
      <c r="AH6">
        <v>5.3818472610955501E-2</v>
      </c>
      <c r="AI6">
        <v>3.76543209876542E-2</v>
      </c>
      <c r="AJ6">
        <v>0.15285621461060001</v>
      </c>
      <c r="AK6">
        <v>0.11882716049382699</v>
      </c>
      <c r="AL6">
        <v>3.6958136080942798E-3</v>
      </c>
      <c r="AM6">
        <v>7.5468540829986101E-3</v>
      </c>
      <c r="AN6">
        <v>4.6296296296295999E-3</v>
      </c>
      <c r="AO6">
        <v>8.3120300751879594E-2</v>
      </c>
      <c r="AP6">
        <v>1.8771929824561301E-2</v>
      </c>
      <c r="AQ6">
        <v>1.52089840844858E-3</v>
      </c>
    </row>
    <row r="7" spans="1:43" x14ac:dyDescent="0.4">
      <c r="A7" t="s">
        <v>49</v>
      </c>
      <c r="B7" s="3" t="s">
        <v>54</v>
      </c>
      <c r="C7" s="4">
        <f>K7*1.9+G7*2.6+H7*5.2+I7*7.8+J7*10.4+L7*1.9+S7*4.2+M7*2.6+P7*2.6</f>
        <v>1404.1002607847433</v>
      </c>
      <c r="D7" s="2">
        <f>E7-M7-P7-Q7-R7</f>
        <v>583.35009371370529</v>
      </c>
      <c r="E7">
        <v>665</v>
      </c>
      <c r="F7" s="2">
        <f>AD7+J7</f>
        <v>157.98324697694537</v>
      </c>
      <c r="G7" s="2">
        <f>$AD7*AF7</f>
        <v>89.811960544661375</v>
      </c>
      <c r="H7" s="2">
        <f>$AD7*AG7</f>
        <v>32.249713517954262</v>
      </c>
      <c r="I7" s="2">
        <f>$AD7*AH7</f>
        <v>6.0572653752274048</v>
      </c>
      <c r="J7" s="2">
        <f>$E7*AI7</f>
        <v>30.999999999999964</v>
      </c>
      <c r="K7" s="2">
        <f>$E7*AJ7</f>
        <v>103.06391752577264</v>
      </c>
      <c r="L7" s="2">
        <f>$E7*AK7</f>
        <v>88.99999999999973</v>
      </c>
      <c r="M7" s="2">
        <f>$E7*(AB7/100)</f>
        <v>71.245360831749323</v>
      </c>
      <c r="N7" s="2">
        <f>$E7*AL7</f>
        <v>2.2979381443298617</v>
      </c>
      <c r="O7" s="2">
        <f>$E7*(AA7/100)</f>
        <v>146.90721648749999</v>
      </c>
      <c r="P7" s="2">
        <f>$E7*AM7</f>
        <v>6.0045454545454229</v>
      </c>
      <c r="Q7" s="2">
        <f>$E7*AN7</f>
        <v>3.9999999999999587</v>
      </c>
      <c r="R7" s="2">
        <f>$E7*AQ7</f>
        <v>0.39999999999998914</v>
      </c>
      <c r="S7" s="2">
        <f>$E7*AO7</f>
        <v>16.064948453608149</v>
      </c>
      <c r="T7" s="2">
        <f>$E7*AP7</f>
        <v>3.9917525773195468</v>
      </c>
      <c r="U7" s="2">
        <f>S7-T7</f>
        <v>12.073195876288603</v>
      </c>
      <c r="V7" s="1">
        <f>F7/D7</f>
        <v>0.27082064214852064</v>
      </c>
      <c r="W7" s="1">
        <f>(F7+M7+N7+P7)/(D7+M7+N7+Q7)</f>
        <v>0.35940908781193442</v>
      </c>
      <c r="X7" s="1">
        <f>(G7+H7*2+I7*3+J7*4)/D7</f>
        <v>0.50824228349530198</v>
      </c>
      <c r="Y7" s="1">
        <f>W7+X7</f>
        <v>0.86765137130723646</v>
      </c>
      <c r="Z7">
        <v>0.31013666140000001</v>
      </c>
      <c r="AA7">
        <v>22.091310750000002</v>
      </c>
      <c r="AB7">
        <v>10.713588094999899</v>
      </c>
      <c r="AD7" s="2">
        <f>(D7-O7-J7+Q7)*Z7</f>
        <v>126.9832469769454</v>
      </c>
      <c r="AE7">
        <v>0.23709169799999999</v>
      </c>
      <c r="AF7">
        <v>0.70727409073865699</v>
      </c>
      <c r="AG7">
        <v>0.25396825396825301</v>
      </c>
      <c r="AH7">
        <v>4.7701295402590702E-2</v>
      </c>
      <c r="AI7">
        <v>4.6616541353383403E-2</v>
      </c>
      <c r="AJ7">
        <v>0.15498333462522201</v>
      </c>
      <c r="AK7">
        <v>0.133834586466165</v>
      </c>
      <c r="AL7">
        <v>3.4555460816990402E-3</v>
      </c>
      <c r="AM7">
        <v>9.0293916609705607E-3</v>
      </c>
      <c r="AN7">
        <v>6.0150375939849003E-3</v>
      </c>
      <c r="AO7">
        <v>2.41578172234709E-2</v>
      </c>
      <c r="AP7">
        <v>6.0026354546158598E-3</v>
      </c>
      <c r="AQ7">
        <v>6.0150375939847995E-4</v>
      </c>
    </row>
    <row r="8" spans="1:43" x14ac:dyDescent="0.4">
      <c r="A8" t="s">
        <v>94</v>
      </c>
      <c r="B8" t="s">
        <v>97</v>
      </c>
      <c r="C8" s="4">
        <f>K8*1.9+G8*2.6+H8*5.2+I8*7.8+J8*10.4+L8*1.9+S8*4.2+M8*2.6+P8*2.6</f>
        <v>1400.0502905619155</v>
      </c>
      <c r="D8" s="2">
        <f>E8-M8-P8-Q8-R8</f>
        <v>592.68969963326754</v>
      </c>
      <c r="E8">
        <v>662</v>
      </c>
      <c r="F8" s="2">
        <f>AD8+J8</f>
        <v>160.73987574299719</v>
      </c>
      <c r="G8" s="2">
        <f>$AD8*AF8</f>
        <v>93.699184617761674</v>
      </c>
      <c r="H8" s="2">
        <f>$AD8*AG8</f>
        <v>34.036028600468917</v>
      </c>
      <c r="I8" s="2">
        <f>$AD8*AH8</f>
        <v>3.4036028600468913</v>
      </c>
      <c r="J8" s="2">
        <f>$E8*AI8</f>
        <v>28.599999999999934</v>
      </c>
      <c r="K8" s="2">
        <f>$E8*AJ8</f>
        <v>94.342857142856673</v>
      </c>
      <c r="L8" s="2">
        <f>$E8*AK8</f>
        <v>97.999999999999972</v>
      </c>
      <c r="M8" s="2">
        <f>$E8*(AB8/100)</f>
        <v>59.404761905194</v>
      </c>
      <c r="N8" s="2">
        <f>$E8*AL8</f>
        <v>10.576190476190426</v>
      </c>
      <c r="O8" s="2">
        <f>$E8*(AA8/100)</f>
        <v>79.7946428666</v>
      </c>
      <c r="P8" s="2">
        <f>$E8*AM8</f>
        <v>3.9055384615384292</v>
      </c>
      <c r="Q8" s="2">
        <f>$E8*AN8</f>
        <v>5.9999999999999813</v>
      </c>
      <c r="R8" s="2">
        <f>$E8*AQ8</f>
        <v>0</v>
      </c>
      <c r="S8" s="2">
        <f>$E8*AO8</f>
        <v>29.856845238095193</v>
      </c>
      <c r="T8" s="2">
        <f>$E8*AP8</f>
        <v>7.7910714285714038</v>
      </c>
      <c r="U8" s="2">
        <f>S8-T8</f>
        <v>22.06577380952379</v>
      </c>
      <c r="V8" s="1">
        <f>F8/D8</f>
        <v>0.27120409860751171</v>
      </c>
      <c r="W8" s="1">
        <f>(F8+M8+N8+P8)/(D8+M8+N8+Q8)</f>
        <v>0.350884797888182</v>
      </c>
      <c r="X8" s="1">
        <f>(G8+H8*2+I8*3+J8*4)/D8</f>
        <v>0.48319053051882216</v>
      </c>
      <c r="Y8" s="1">
        <f>W8+X8</f>
        <v>0.83407532840700416</v>
      </c>
      <c r="Z8">
        <v>0.26951092799999998</v>
      </c>
      <c r="AA8">
        <v>12.05357143</v>
      </c>
      <c r="AB8">
        <v>8.9735289887</v>
      </c>
      <c r="AD8" s="2">
        <f>(D8-O8-J8+Q8)*Z8</f>
        <v>132.13987574299725</v>
      </c>
      <c r="AE8">
        <v>0.245543807</v>
      </c>
      <c r="AF8">
        <v>0.70909090909090899</v>
      </c>
      <c r="AG8">
        <v>0.25757575757575701</v>
      </c>
      <c r="AH8">
        <v>2.5757575757575701E-2</v>
      </c>
      <c r="AI8">
        <v>4.3202416918428903E-2</v>
      </c>
      <c r="AJ8">
        <v>0.14251186879585601</v>
      </c>
      <c r="AK8">
        <v>0.14803625377643501</v>
      </c>
      <c r="AL8">
        <v>1.5976118544094298E-2</v>
      </c>
      <c r="AM8">
        <v>5.8996049267952102E-3</v>
      </c>
      <c r="AN8">
        <v>9.0634441087613007E-3</v>
      </c>
      <c r="AO8">
        <v>4.5100974679902102E-2</v>
      </c>
      <c r="AP8">
        <v>1.17689900733707E-2</v>
      </c>
      <c r="AQ8">
        <v>0</v>
      </c>
    </row>
    <row r="9" spans="1:43" x14ac:dyDescent="0.4">
      <c r="A9" t="s">
        <v>20</v>
      </c>
      <c r="B9" t="s">
        <v>22</v>
      </c>
      <c r="C9" s="4">
        <f>K9*1.9+G9*2.6+H9*5.2+I9*7.8+J9*10.4+L9*1.9+S9*4.2+M9*2.6+P9*2.6</f>
        <v>1390.6399219236341</v>
      </c>
      <c r="D9" s="2">
        <f>E9-M9-P9-Q9-R9</f>
        <v>569.2207129970044</v>
      </c>
      <c r="E9">
        <v>653</v>
      </c>
      <c r="F9" s="2">
        <f>AD9+J9</f>
        <v>147.41905925934063</v>
      </c>
      <c r="G9" s="2">
        <f>$AD9*AF9</f>
        <v>87.591004012727609</v>
      </c>
      <c r="H9" s="2">
        <f>$AD9*AG9</f>
        <v>31.153526696316494</v>
      </c>
      <c r="I9" s="2">
        <f>$AD9*AH9</f>
        <v>9.7455878949295283</v>
      </c>
      <c r="J9" s="2">
        <f>$E9*AI9</f>
        <v>21.799999999999937</v>
      </c>
      <c r="K9" s="2">
        <f>$E9*AJ9</f>
        <v>102.16785714285689</v>
      </c>
      <c r="L9" s="2">
        <f>$E9*AK9</f>
        <v>74.999999999999972</v>
      </c>
      <c r="M9" s="2">
        <f>$E9*(AB9/100)</f>
        <v>67.102083355579339</v>
      </c>
      <c r="N9" s="2">
        <f>$E9*AL9</f>
        <v>1.3971726190476048</v>
      </c>
      <c r="O9" s="2">
        <f>$E9*(AA9/100)</f>
        <v>126.324404793</v>
      </c>
      <c r="P9" s="2">
        <f>$E9*AM9</f>
        <v>9.2908814589665383</v>
      </c>
      <c r="Q9" s="2">
        <f>$E9*AN9</f>
        <v>4.3999999999999604</v>
      </c>
      <c r="R9" s="2">
        <f>$E9*AQ9</f>
        <v>2.9863221884498272</v>
      </c>
      <c r="S9" s="2">
        <f>$E9*AO9</f>
        <v>38.792559523809466</v>
      </c>
      <c r="T9" s="2">
        <f>$E9*AP9</f>
        <v>6.9802083333332332</v>
      </c>
      <c r="U9" s="2">
        <f>S9-T9</f>
        <v>31.812351190476232</v>
      </c>
      <c r="V9" s="1">
        <f>F9/D9</f>
        <v>0.2589840037323386</v>
      </c>
      <c r="W9" s="1">
        <f>(F9+M9+N9+P9)/(D9+M9+N9+Q9)</f>
        <v>0.35072760165613814</v>
      </c>
      <c r="X9" s="1">
        <f>(G9+H9*2+I9*3+J9*4)/D9</f>
        <v>0.46789376248778658</v>
      </c>
      <c r="Y9" s="1">
        <f>W9+X9</f>
        <v>0.81862136414392472</v>
      </c>
      <c r="Z9">
        <v>0.29522949279999999</v>
      </c>
      <c r="AA9">
        <v>19.3452381</v>
      </c>
      <c r="AB9">
        <v>10.275969885999899</v>
      </c>
      <c r="AD9" s="2">
        <f>(D9-O9-J9+Q9)*Z9</f>
        <v>125.6190592593407</v>
      </c>
      <c r="AE9">
        <v>0.22435440500000001</v>
      </c>
      <c r="AF9">
        <v>0.697274796747967</v>
      </c>
      <c r="AG9">
        <v>0.248</v>
      </c>
      <c r="AH9">
        <v>7.7580487804878001E-2</v>
      </c>
      <c r="AI9">
        <v>3.3384379785604802E-2</v>
      </c>
      <c r="AJ9">
        <v>0.15645919929993399</v>
      </c>
      <c r="AK9">
        <v>0.114854517611026</v>
      </c>
      <c r="AL9">
        <v>2.1396211624006198E-3</v>
      </c>
      <c r="AM9">
        <v>1.42279961086777E-2</v>
      </c>
      <c r="AN9">
        <v>6.7381316998467999E-3</v>
      </c>
      <c r="AO9">
        <v>5.9406676146722001E-2</v>
      </c>
      <c r="AP9">
        <v>1.0689446145992701E-2</v>
      </c>
      <c r="AQ9">
        <v>4.5732345918067796E-3</v>
      </c>
    </row>
    <row r="10" spans="1:43" x14ac:dyDescent="0.4">
      <c r="A10" t="s">
        <v>257</v>
      </c>
      <c r="B10" t="s">
        <v>266</v>
      </c>
      <c r="C10" s="4">
        <f>K10*1.9+G10*2.6+H10*5.2+I10*7.8+J10*10.4+L10*1.9+S10*4.2+M10*2.6+P10*2.6</f>
        <v>1367.4070461579713</v>
      </c>
      <c r="D10" s="2">
        <f>E10-M10-P10-Q10-R10</f>
        <v>587.76249060218095</v>
      </c>
      <c r="E10">
        <v>666</v>
      </c>
      <c r="F10" s="2">
        <f>AD10+J10</f>
        <v>174.07204676178733</v>
      </c>
      <c r="G10" s="2">
        <f>$AD10*AF10</f>
        <v>108.34983945351047</v>
      </c>
      <c r="H10" s="2">
        <f>$AD10*AG10</f>
        <v>31.837101373266997</v>
      </c>
      <c r="I10" s="2">
        <f>$AD10*AH10</f>
        <v>0.99911326052549343</v>
      </c>
      <c r="J10" s="2">
        <f>$E10*AI10</f>
        <v>31.799999999999965</v>
      </c>
      <c r="K10" s="2">
        <f>$E10*AJ10</f>
        <v>96.480357142857059</v>
      </c>
      <c r="L10" s="2">
        <f>$E10*AK10</f>
        <v>98.999999999999559</v>
      </c>
      <c r="M10" s="2">
        <f>$E10*(AB10/100)</f>
        <v>67.33660714218</v>
      </c>
      <c r="N10" s="2">
        <f>$E10*AL10</f>
        <v>7.5928571428570759</v>
      </c>
      <c r="O10" s="2">
        <f>$E10*(AA10/100)</f>
        <v>95.142857171399996</v>
      </c>
      <c r="P10" s="2">
        <f>$E10*AM10</f>
        <v>6.9009022556390285</v>
      </c>
      <c r="Q10" s="2">
        <f>$E10*AN10</f>
        <v>3.999999999999996</v>
      </c>
      <c r="R10" s="2">
        <f>$E10*AQ10</f>
        <v>0</v>
      </c>
      <c r="S10" s="2">
        <f>$E10*AO10</f>
        <v>4.0955357142857043</v>
      </c>
      <c r="T10" s="2">
        <f>$E10*AP10</f>
        <v>1.9982142857142788</v>
      </c>
      <c r="U10" s="2">
        <f>S10-T10</f>
        <v>2.0973214285714255</v>
      </c>
      <c r="V10" s="1">
        <f>F10/D10</f>
        <v>0.29616052324714548</v>
      </c>
      <c r="W10" s="1">
        <f>(F10+M10+N10+P10)/(D10+M10+N10+Q10)</f>
        <v>0.38383906004348523</v>
      </c>
      <c r="X10" s="1">
        <f>(G10+H10*2+I10*3+J10*4)/D10</f>
        <v>0.51418963750474378</v>
      </c>
      <c r="Y10" s="1">
        <f>W10+X10</f>
        <v>0.898028697548229</v>
      </c>
      <c r="Z10">
        <v>0.30608011480000002</v>
      </c>
      <c r="AA10">
        <v>14.28571429</v>
      </c>
      <c r="AB10">
        <v>10.110601673</v>
      </c>
      <c r="AD10" s="2">
        <f>(D10-O10-J10+Q10)*Z10</f>
        <v>142.27204676178738</v>
      </c>
      <c r="AE10">
        <v>0.26162725199999998</v>
      </c>
      <c r="AF10">
        <v>0.76156800945533298</v>
      </c>
      <c r="AG10">
        <v>0.223776223776223</v>
      </c>
      <c r="AH10">
        <v>7.0225549098787803E-3</v>
      </c>
      <c r="AI10">
        <v>4.7747747747747697E-2</v>
      </c>
      <c r="AJ10">
        <v>0.144865401115401</v>
      </c>
      <c r="AK10">
        <v>0.14864864864864799</v>
      </c>
      <c r="AL10">
        <v>1.14006864006863E-2</v>
      </c>
      <c r="AM10">
        <v>1.03617150985571E-2</v>
      </c>
      <c r="AN10">
        <v>6.0060060060059999E-3</v>
      </c>
      <c r="AO10">
        <v>6.14945302445301E-3</v>
      </c>
      <c r="AP10">
        <v>3.0003217503217399E-3</v>
      </c>
      <c r="AQ10">
        <v>0</v>
      </c>
    </row>
    <row r="11" spans="1:43" x14ac:dyDescent="0.4">
      <c r="A11" t="s">
        <v>72</v>
      </c>
      <c r="B11" t="s">
        <v>75</v>
      </c>
      <c r="C11" s="4">
        <f>K11*1.9+G11*2.6+H11*5.2+I11*7.8+J11*10.4+L11*1.9+S11*4.2+M11*2.6+P11*2.6</f>
        <v>1358.2806905383313</v>
      </c>
      <c r="D11" s="2">
        <f>E11-M11-P11-Q11-R11</f>
        <v>554.56108993799137</v>
      </c>
      <c r="E11">
        <v>642</v>
      </c>
      <c r="F11" s="2">
        <f>AD11+J11</f>
        <v>151.07118659259953</v>
      </c>
      <c r="G11" s="2">
        <f>$AD11*AF11</f>
        <v>88.920669673711913</v>
      </c>
      <c r="H11" s="2">
        <f>$AD11*AG11</f>
        <v>28.686702529962474</v>
      </c>
      <c r="I11" s="2">
        <f>$AD11*AH11</f>
        <v>2.4134776356892593</v>
      </c>
      <c r="J11" s="2">
        <f>$E11*AI11</f>
        <v>29.399999999999942</v>
      </c>
      <c r="K11" s="2">
        <f>$E11*AJ11</f>
        <v>91.607819548871774</v>
      </c>
      <c r="L11" s="2">
        <f>$E11*AK11</f>
        <v>93.999999999999972</v>
      </c>
      <c r="M11" s="2">
        <f>$E11*(AB11/100)</f>
        <v>79.016390978039354</v>
      </c>
      <c r="N11" s="2">
        <f>$E11*AL11</f>
        <v>5.9792481203007055</v>
      </c>
      <c r="O11" s="2">
        <f>$E11*(AA11/100)</f>
        <v>98.472180421199994</v>
      </c>
      <c r="P11" s="2">
        <f>$E11*AM11</f>
        <v>2.822519083969413</v>
      </c>
      <c r="Q11" s="2">
        <f>$E11*AN11</f>
        <v>5.5999999999999508</v>
      </c>
      <c r="R11" s="2">
        <f>$E11*AQ11</f>
        <v>0</v>
      </c>
      <c r="S11" s="2">
        <f>$E11*AO11</f>
        <v>20.927368421052567</v>
      </c>
      <c r="T11" s="2">
        <f>$E11*AP11</f>
        <v>4.7896240601503335</v>
      </c>
      <c r="U11" s="2">
        <f>S11-T11</f>
        <v>16.137744360902232</v>
      </c>
      <c r="V11" s="1">
        <f>F11/D11</f>
        <v>0.27241577047803994</v>
      </c>
      <c r="W11" s="1">
        <f>(F11+M11+N11+P11)/(D11+M11+N11+Q11)</f>
        <v>0.37028110228616429</v>
      </c>
      <c r="X11" s="1">
        <f>(G11+H11*2+I11*3+J11*4)/D11</f>
        <v>0.48891729434357095</v>
      </c>
      <c r="Y11" s="1">
        <f>W11+X11</f>
        <v>0.85919839662973518</v>
      </c>
      <c r="Z11">
        <v>0.28145803399999902</v>
      </c>
      <c r="AA11">
        <v>15.33834586</v>
      </c>
      <c r="AB11">
        <v>12.307849061999899</v>
      </c>
      <c r="AD11" s="2">
        <f>(D11-O11-J11+Q11)*Z11</f>
        <v>121.67118659259958</v>
      </c>
      <c r="AE11">
        <v>0.23746765</v>
      </c>
      <c r="AF11">
        <v>0.73082766893242701</v>
      </c>
      <c r="AG11">
        <v>0.23577235772357699</v>
      </c>
      <c r="AH11">
        <v>1.9836065573770399E-2</v>
      </c>
      <c r="AI11">
        <v>4.5794392523364397E-2</v>
      </c>
      <c r="AJ11">
        <v>0.14269130770852301</v>
      </c>
      <c r="AK11">
        <v>0.146417445482866</v>
      </c>
      <c r="AL11">
        <v>9.3134705923687E-3</v>
      </c>
      <c r="AM11">
        <v>4.3964471712919203E-3</v>
      </c>
      <c r="AN11">
        <v>8.7227414330217305E-3</v>
      </c>
      <c r="AO11">
        <v>3.2597147073290603E-2</v>
      </c>
      <c r="AP11">
        <v>7.4604736139413297E-3</v>
      </c>
      <c r="AQ11">
        <v>0</v>
      </c>
    </row>
    <row r="12" spans="1:43" x14ac:dyDescent="0.4">
      <c r="A12" t="s">
        <v>138</v>
      </c>
      <c r="B12" t="s">
        <v>144</v>
      </c>
      <c r="C12" s="4">
        <f>K12*1.9+G12*2.6+H12*5.2+I12*7.8+J12*10.4+L12*1.9+S12*4.2+M12*2.6+P12*2.6</f>
        <v>1352.9173974468727</v>
      </c>
      <c r="D12" s="2">
        <f>E12-M12-P12-Q12-R12</f>
        <v>565.95304882754624</v>
      </c>
      <c r="E12">
        <v>653</v>
      </c>
      <c r="F12" s="2">
        <f>AD12+J12</f>
        <v>154.16855492252515</v>
      </c>
      <c r="G12" s="2">
        <f>$AD12*AF12</f>
        <v>92.228249323390372</v>
      </c>
      <c r="H12" s="2">
        <f>$AD12*AG12</f>
        <v>31.396850833494501</v>
      </c>
      <c r="I12" s="2">
        <f>$AD12*AH12</f>
        <v>2.9714876681700209</v>
      </c>
      <c r="J12" s="2">
        <f>$E12*AI12</f>
        <v>27.599999999999945</v>
      </c>
      <c r="K12" s="2">
        <f>$E12*AJ12</f>
        <v>100.8957290132545</v>
      </c>
      <c r="L12" s="2">
        <f>$E12*AK12</f>
        <v>90.999999999999844</v>
      </c>
      <c r="M12" s="2">
        <f>$E12*(AB12/100)</f>
        <v>74.678350489860009</v>
      </c>
      <c r="N12" s="2">
        <f>$E12*AL12</f>
        <v>2.4885125184094052</v>
      </c>
      <c r="O12" s="2">
        <f>$E12*(AA12/100)</f>
        <v>90.400589097099996</v>
      </c>
      <c r="P12" s="2">
        <f>$E12*AM12</f>
        <v>6.9686006825937765</v>
      </c>
      <c r="Q12" s="2">
        <f>$E12*AN12</f>
        <v>4.9999999999999547</v>
      </c>
      <c r="R12" s="2">
        <f>$E12*AQ12</f>
        <v>0.39999999999999636</v>
      </c>
      <c r="S12" s="2">
        <f>$E12*AO12</f>
        <v>14.9425625920471</v>
      </c>
      <c r="T12" s="2">
        <f>$E12*AP12</f>
        <v>2.9885125184094004</v>
      </c>
      <c r="U12" s="2">
        <f>S12-T12</f>
        <v>11.954050073637699</v>
      </c>
      <c r="V12" s="1">
        <f>F12/D12</f>
        <v>0.27240520259040507</v>
      </c>
      <c r="W12" s="1">
        <f>(F12+M12+N12+P12)/(D12+M12+N12+Q12)</f>
        <v>0.36768507534105277</v>
      </c>
      <c r="X12" s="1">
        <f>(G12+H12*2+I12*3+J12*4)/D12</f>
        <v>0.48473352085162691</v>
      </c>
      <c r="Y12" s="1">
        <f>W12+X12</f>
        <v>0.85241859619267968</v>
      </c>
      <c r="Z12">
        <v>0.27943010839999999</v>
      </c>
      <c r="AA12">
        <v>13.84388807</v>
      </c>
      <c r="AB12">
        <v>11.436194562000001</v>
      </c>
      <c r="AD12" s="2">
        <f>(D12-O12-J12+Q12)*Z12</f>
        <v>126.56855492252521</v>
      </c>
      <c r="AE12">
        <v>0.24197824100000001</v>
      </c>
      <c r="AF12">
        <v>0.72868217054263495</v>
      </c>
      <c r="AG12">
        <v>0.24806201550387499</v>
      </c>
      <c r="AH12">
        <v>2.3477297895902499E-2</v>
      </c>
      <c r="AI12">
        <v>4.2266462480857497E-2</v>
      </c>
      <c r="AJ12">
        <v>0.15451107046440199</v>
      </c>
      <c r="AK12">
        <v>0.13935681470137801</v>
      </c>
      <c r="AL12">
        <v>3.8108920649454901E-3</v>
      </c>
      <c r="AM12">
        <v>1.0671670264308999E-2</v>
      </c>
      <c r="AN12">
        <v>7.6569678407349996E-3</v>
      </c>
      <c r="AO12">
        <v>2.2882944245095099E-2</v>
      </c>
      <c r="AP12">
        <v>4.57658884901899E-3</v>
      </c>
      <c r="AQ12">
        <v>6.1255742725879996E-4</v>
      </c>
    </row>
    <row r="13" spans="1:43" x14ac:dyDescent="0.4">
      <c r="A13" t="s">
        <v>172</v>
      </c>
      <c r="B13" t="s">
        <v>175</v>
      </c>
      <c r="C13" s="4">
        <f>K13*1.9+G13*2.6+H13*5.2+I13*7.8+J13*10.4+L13*1.9+S13*4.2+M13*2.6+P13*2.6</f>
        <v>1340.1081378937829</v>
      </c>
      <c r="D13" s="2">
        <f>E13-M13-P13-Q13-R13</f>
        <v>594.80116973848146</v>
      </c>
      <c r="E13">
        <v>671</v>
      </c>
      <c r="F13" s="2">
        <f>AD13+J13</f>
        <v>151.80165225474909</v>
      </c>
      <c r="G13" s="2">
        <f>$AD13*AF13</f>
        <v>90.342956509073474</v>
      </c>
      <c r="H13" s="2">
        <f>$AD13*AG13</f>
        <v>31.356157540141083</v>
      </c>
      <c r="I13" s="2">
        <f>$AD13*AH13</f>
        <v>1.9938470239718118</v>
      </c>
      <c r="J13" s="2">
        <f>$E13*AI13</f>
        <v>28.399999999999956</v>
      </c>
      <c r="K13" s="2">
        <f>$E13*AJ13</f>
        <v>96.474927113702421</v>
      </c>
      <c r="L13" s="2">
        <f>$E13*AK13</f>
        <v>86.999999999999488</v>
      </c>
      <c r="M13" s="2">
        <f>$E13*(AB13/100)</f>
        <v>60.162244895665005</v>
      </c>
      <c r="N13" s="2">
        <f>$E13*AL13</f>
        <v>1.4956268221574307</v>
      </c>
      <c r="O13" s="2">
        <f>$E13*(AA13/100)</f>
        <v>127.15743441719999</v>
      </c>
      <c r="P13" s="2">
        <f>$E13*AM13</f>
        <v>10.0228658536585</v>
      </c>
      <c r="Q13" s="2">
        <f>$E13*AN13</f>
        <v>4.9999999999999938</v>
      </c>
      <c r="R13" s="2">
        <f>$E13*AQ13</f>
        <v>1.0137195121951057</v>
      </c>
      <c r="S13" s="2">
        <f>$E13*AO13</f>
        <v>23.849708454810422</v>
      </c>
      <c r="T13" s="2">
        <f>$E13*AP13</f>
        <v>5.8890670553935776</v>
      </c>
      <c r="U13" s="2">
        <f>S13-T13</f>
        <v>17.960641399416843</v>
      </c>
      <c r="V13" s="1">
        <f>F13/D13</f>
        <v>0.25521411183756132</v>
      </c>
      <c r="W13" s="1">
        <f>(F13+M13+N13+P13)/(D13+M13+N13+Q13)</f>
        <v>0.33786277882633381</v>
      </c>
      <c r="X13" s="1">
        <f>(G13+H13*2+I13*3+J13*4)/D13</f>
        <v>0.45836630210586543</v>
      </c>
      <c r="Y13" s="1">
        <f>W13+X13</f>
        <v>0.79622908093219924</v>
      </c>
      <c r="Z13">
        <v>0.27777916139999997</v>
      </c>
      <c r="AA13">
        <v>18.950437319999999</v>
      </c>
      <c r="AB13">
        <v>8.9660573615000008</v>
      </c>
      <c r="AD13" s="2">
        <f>(D13-O13-J13+Q13)*Z13</f>
        <v>123.40165225474912</v>
      </c>
      <c r="AE13">
        <v>0.22738820100000001</v>
      </c>
      <c r="AF13">
        <v>0.73210491803278599</v>
      </c>
      <c r="AG13">
        <v>0.25409836065573699</v>
      </c>
      <c r="AH13">
        <v>1.6157377049180299E-2</v>
      </c>
      <c r="AI13">
        <v>4.2324888226527503E-2</v>
      </c>
      <c r="AJ13">
        <v>0.14377783474471301</v>
      </c>
      <c r="AK13">
        <v>0.12965722801788299</v>
      </c>
      <c r="AL13">
        <v>2.2289520449440101E-3</v>
      </c>
      <c r="AM13">
        <v>1.49372069354076E-2</v>
      </c>
      <c r="AN13">
        <v>7.4515648286140003E-3</v>
      </c>
      <c r="AO13">
        <v>3.5543529738912699E-2</v>
      </c>
      <c r="AP13">
        <v>8.7765529886640499E-3</v>
      </c>
      <c r="AQ13">
        <v>1.51075933263056E-3</v>
      </c>
    </row>
    <row r="14" spans="1:43" x14ac:dyDescent="0.4">
      <c r="A14" t="s">
        <v>115</v>
      </c>
      <c r="B14" t="s">
        <v>121</v>
      </c>
      <c r="C14" s="4">
        <f>K14*1.9+G14*2.6+H14*5.2+I14*7.8+J14*10.4+L14*1.9+S14*4.2+M14*2.6+P14*2.6</f>
        <v>1336.5264850167098</v>
      </c>
      <c r="D14" s="2">
        <f>E14-M14-P14-Q14-R14</f>
        <v>506.91712832055691</v>
      </c>
      <c r="E14">
        <v>591</v>
      </c>
      <c r="F14" s="2">
        <f>AD14+J14</f>
        <v>150.48092695269582</v>
      </c>
      <c r="G14" s="2">
        <f>$AD14*AF14</f>
        <v>81.86751629006848</v>
      </c>
      <c r="H14" s="2">
        <f>$AD14*AG14</f>
        <v>29.700422357010606</v>
      </c>
      <c r="I14" s="2">
        <f>$AD14*AH14</f>
        <v>1.585294078062774</v>
      </c>
      <c r="J14" s="2">
        <f>$E14*AI14</f>
        <v>36.79999999999994</v>
      </c>
      <c r="K14" s="2">
        <f>$E14*AJ14</f>
        <v>90.319104991394056</v>
      </c>
      <c r="L14" s="2">
        <f>$E14*AK14</f>
        <v>96.999999999999517</v>
      </c>
      <c r="M14" s="2">
        <f>$E14*(AB14/100)</f>
        <v>70.018760749590001</v>
      </c>
      <c r="N14" s="2">
        <f>$E14*AL14</f>
        <v>9.71893287435452</v>
      </c>
      <c r="O14" s="2">
        <f>$E14*(AA14/100)</f>
        <v>100.70395869720001</v>
      </c>
      <c r="P14" s="2">
        <f>$E14*AM14</f>
        <v>9.064110929853106</v>
      </c>
      <c r="Q14" s="2">
        <f>$E14*AN14</f>
        <v>4.9999999999999849</v>
      </c>
      <c r="R14" s="2">
        <f>$E14*AQ14</f>
        <v>0</v>
      </c>
      <c r="S14" s="2">
        <f>$E14*AO14</f>
        <v>3.0051635111875523</v>
      </c>
      <c r="T14" s="2">
        <f>$E14*AP14</f>
        <v>0.89999999999996538</v>
      </c>
      <c r="U14" s="2">
        <f>S14-T14</f>
        <v>2.105163511187587</v>
      </c>
      <c r="V14" s="1">
        <f>F14/D14</f>
        <v>0.29685508448145564</v>
      </c>
      <c r="W14" s="1">
        <f>(F14+M14+N14+P14)/(D14+M14+N14+Q14)</f>
        <v>0.40442961441618863</v>
      </c>
      <c r="X14" s="1">
        <f>(G14+H14*2+I14*3+J14*4)/D14</f>
        <v>0.57844611447584171</v>
      </c>
      <c r="Y14" s="1">
        <f>W14+X14</f>
        <v>0.98287572889203034</v>
      </c>
      <c r="Z14">
        <v>0.3036242744</v>
      </c>
      <c r="AA14">
        <v>17.039586920000001</v>
      </c>
      <c r="AB14">
        <v>11.847506049</v>
      </c>
      <c r="AD14" s="2">
        <f>(D14-O14-J14+Q14)*Z14</f>
        <v>113.68092695269588</v>
      </c>
      <c r="AE14">
        <v>0.25398422300000001</v>
      </c>
      <c r="AF14">
        <v>0.72015173067804605</v>
      </c>
      <c r="AG14">
        <v>0.26126126126126098</v>
      </c>
      <c r="AH14">
        <v>1.3945119208277E-2</v>
      </c>
      <c r="AI14">
        <v>6.22673434856175E-2</v>
      </c>
      <c r="AJ14">
        <v>0.15282420472317099</v>
      </c>
      <c r="AK14">
        <v>0.164128595600676</v>
      </c>
      <c r="AL14">
        <v>1.6444894880464501E-2</v>
      </c>
      <c r="AM14">
        <v>1.5336905126655E-2</v>
      </c>
      <c r="AN14">
        <v>8.4602368866327996E-3</v>
      </c>
      <c r="AO14">
        <v>5.0848790375423898E-3</v>
      </c>
      <c r="AP14">
        <v>1.5228426395938501E-3</v>
      </c>
      <c r="AQ14">
        <v>0</v>
      </c>
    </row>
    <row r="15" spans="1:43" x14ac:dyDescent="0.4">
      <c r="A15" t="s">
        <v>206</v>
      </c>
      <c r="B15" t="s">
        <v>207</v>
      </c>
      <c r="C15" s="4">
        <f>K15*1.9+G15*2.6+H15*5.2+I15*7.8+J15*10.4+L15*1.9+S15*4.2+M15*2.6+P15*2.6</f>
        <v>1336.4089475779501</v>
      </c>
      <c r="D15" s="2">
        <f>E15-M15-P15-Q15-R15</f>
        <v>561.34640811103441</v>
      </c>
      <c r="E15">
        <v>629</v>
      </c>
      <c r="F15" s="2">
        <f>AD15+J15</f>
        <v>154.10924115084038</v>
      </c>
      <c r="G15" s="2">
        <f>$AD15*AF15</f>
        <v>89.371495593645847</v>
      </c>
      <c r="H15" s="2">
        <f>$AD15*AG15</f>
        <v>30.125223233813191</v>
      </c>
      <c r="I15" s="2">
        <f>$AD15*AH15</f>
        <v>2.0217372036914583</v>
      </c>
      <c r="J15" s="2">
        <f>$E15*AI15</f>
        <v>31.599999999999916</v>
      </c>
      <c r="K15" s="2">
        <f>$E15*AJ15</f>
        <v>98.449848024315813</v>
      </c>
      <c r="L15" s="2">
        <f>$E15*AK15</f>
        <v>87.999999999999503</v>
      </c>
      <c r="M15" s="2">
        <f>$E15*(AB15/100)</f>
        <v>56.748784196658008</v>
      </c>
      <c r="N15" s="2">
        <f>$E15*AL15</f>
        <v>1.3955927051671251</v>
      </c>
      <c r="O15" s="2">
        <f>$E15*(AA15/100)</f>
        <v>134.7857142947</v>
      </c>
      <c r="P15" s="2">
        <f>$E15*AM15</f>
        <v>6.9048076923076103</v>
      </c>
      <c r="Q15" s="2">
        <f>$E15*AN15</f>
        <v>3.5999999999999672</v>
      </c>
      <c r="R15" s="2">
        <f>$E15*AQ15</f>
        <v>0.39999999999997887</v>
      </c>
      <c r="S15" s="2">
        <f>$E15*AO15</f>
        <v>19.816261398176241</v>
      </c>
      <c r="T15" s="2">
        <f>$E15*AP15</f>
        <v>4.8823708206686822</v>
      </c>
      <c r="U15" s="2">
        <f>S15-T15</f>
        <v>14.933890577507558</v>
      </c>
      <c r="V15" s="1">
        <f>F15/D15</f>
        <v>0.2745350089072941</v>
      </c>
      <c r="W15" s="1">
        <f>(F15+M15+N15+P15)/(D15+M15+N15+Q15)</f>
        <v>0.35172791993778246</v>
      </c>
      <c r="X15" s="1">
        <f>(G15+H15*2+I15*3+J15*4)/D15</f>
        <v>0.50251885394900297</v>
      </c>
      <c r="Y15" s="1">
        <f>W15+X15</f>
        <v>0.85424677388678538</v>
      </c>
      <c r="Z15">
        <v>0.30737913459999999</v>
      </c>
      <c r="AA15">
        <v>21.428571430000002</v>
      </c>
      <c r="AB15">
        <v>9.0220642602000005</v>
      </c>
      <c r="AD15" s="2">
        <f>(D15-O15-J15+Q15)*Z15</f>
        <v>122.50924115084045</v>
      </c>
      <c r="AE15">
        <v>0.246363833</v>
      </c>
      <c r="AF15">
        <v>0.72950819672131095</v>
      </c>
      <c r="AG15">
        <v>0.24590163934426201</v>
      </c>
      <c r="AH15">
        <v>1.65027322404371E-2</v>
      </c>
      <c r="AI15">
        <v>5.02384737678854E-2</v>
      </c>
      <c r="AJ15">
        <v>0.15651804137411099</v>
      </c>
      <c r="AK15">
        <v>0.139904610492845</v>
      </c>
      <c r="AL15">
        <v>2.2187483388984501E-3</v>
      </c>
      <c r="AM15">
        <v>1.0977436712730699E-2</v>
      </c>
      <c r="AN15">
        <v>5.7233704292527299E-3</v>
      </c>
      <c r="AO15">
        <v>3.1504390140184801E-2</v>
      </c>
      <c r="AP15">
        <v>7.7621157721282702E-3</v>
      </c>
      <c r="AQ15">
        <v>6.3593004769471996E-4</v>
      </c>
    </row>
    <row r="16" spans="1:43" x14ac:dyDescent="0.4">
      <c r="A16" t="s">
        <v>189</v>
      </c>
      <c r="B16" t="s">
        <v>195</v>
      </c>
      <c r="C16" s="4">
        <f>K16*1.9+G16*2.6+H16*5.2+I16*7.8+J16*10.4+L16*1.9+S16*4.2+M16*2.6+P16*2.6</f>
        <v>1310.8854682063716</v>
      </c>
      <c r="D16" s="2">
        <f>E16-M16-P16-Q16-R16</f>
        <v>549.4581571343781</v>
      </c>
      <c r="E16">
        <v>660</v>
      </c>
      <c r="F16" s="2">
        <f>AD16+J16</f>
        <v>120.458642044263</v>
      </c>
      <c r="G16" s="2">
        <f>$AD16*AF16</f>
        <v>63.145387124779724</v>
      </c>
      <c r="H16" s="2">
        <f>$AD16*AG16</f>
        <v>21.911648529103328</v>
      </c>
      <c r="I16" s="2">
        <f>$AD16*AH16</f>
        <v>0.99598402405015041</v>
      </c>
      <c r="J16" s="2">
        <f>$E16*AI16</f>
        <v>35.799999999999905</v>
      </c>
      <c r="K16" s="2">
        <f>$E16*AJ16</f>
        <v>94.380547112461514</v>
      </c>
      <c r="L16" s="2">
        <f>$E16*AK16</f>
        <v>93.99999999999973</v>
      </c>
      <c r="M16" s="2">
        <f>$E16*(AB16/100)</f>
        <v>99.829787224200004</v>
      </c>
      <c r="N16" s="2">
        <f>$E16*AL16</f>
        <v>3.6012158054710928</v>
      </c>
      <c r="O16" s="2">
        <f>$E16*(AA16/100)</f>
        <v>190.577507604</v>
      </c>
      <c r="P16" s="2">
        <f>$E16*AM16</f>
        <v>6.9120556414219196</v>
      </c>
      <c r="Q16" s="2">
        <f>$E16*AN16</f>
        <v>3.3999999999999657</v>
      </c>
      <c r="R16" s="2">
        <f>$E16*AQ16</f>
        <v>0.39999999999999597</v>
      </c>
      <c r="S16" s="2">
        <f>$E16*AO16</f>
        <v>4.101519756838865</v>
      </c>
      <c r="T16" s="2">
        <f>$E16*AP16</f>
        <v>2.000607902735541</v>
      </c>
      <c r="U16" s="2">
        <f>S16-T16</f>
        <v>2.100911854103324</v>
      </c>
      <c r="V16" s="1">
        <f>F16/D16</f>
        <v>0.21923169304191994</v>
      </c>
      <c r="W16" s="1">
        <f>(F16+M16+N16+P16)/(D16+M16+N16+Q16)</f>
        <v>0.35167684417896489</v>
      </c>
      <c r="X16" s="1">
        <f>(G16+H16*2+I16*3+J16*4)/D16</f>
        <v>0.46073869860343752</v>
      </c>
      <c r="Y16" s="1">
        <f>W16+X16</f>
        <v>0.81241554278240247</v>
      </c>
      <c r="Z16">
        <v>0.25930676800000002</v>
      </c>
      <c r="AA16">
        <v>28.875379939999998</v>
      </c>
      <c r="AB16">
        <v>15.125725337</v>
      </c>
      <c r="AD16" s="2">
        <f>(D16-O16-J16+Q16)*Z16</f>
        <v>84.65864204426309</v>
      </c>
      <c r="AE16">
        <v>0.18536303100000001</v>
      </c>
      <c r="AF16">
        <v>0.745882352941176</v>
      </c>
      <c r="AG16">
        <v>0.25882352941176401</v>
      </c>
      <c r="AH16">
        <v>1.1764705882352899E-2</v>
      </c>
      <c r="AI16">
        <v>5.4242424242424099E-2</v>
      </c>
      <c r="AJ16">
        <v>0.14300082895827501</v>
      </c>
      <c r="AK16">
        <v>0.14242424242424201</v>
      </c>
      <c r="AL16">
        <v>5.4563875840471102E-3</v>
      </c>
      <c r="AM16">
        <v>1.0472811577912E-2</v>
      </c>
      <c r="AN16">
        <v>5.1515151515150997E-3</v>
      </c>
      <c r="AO16">
        <v>6.2144238739982802E-3</v>
      </c>
      <c r="AP16">
        <v>3.0312240950538501E-3</v>
      </c>
      <c r="AQ16">
        <v>6.0606060606059999E-4</v>
      </c>
    </row>
    <row r="17" spans="1:43" x14ac:dyDescent="0.4">
      <c r="A17" t="s">
        <v>214</v>
      </c>
      <c r="B17" t="s">
        <v>219</v>
      </c>
      <c r="C17" s="4">
        <f>K17*1.9+G17*2.6+H17*5.2+I17*7.8+J17*10.4+L17*1.9+S17*4.2+M17*2.6+P17*2.6</f>
        <v>1300.5987910492879</v>
      </c>
      <c r="D17" s="2">
        <f>E17-M17-P17-Q17-R17</f>
        <v>582.27970726048898</v>
      </c>
      <c r="E17">
        <v>641</v>
      </c>
      <c r="F17" s="2">
        <f>AD17+J17</f>
        <v>161.70687658275878</v>
      </c>
      <c r="G17" s="2">
        <f>$AD17*AF17</f>
        <v>103.57144916207525</v>
      </c>
      <c r="H17" s="2">
        <f>$AD17*AG17</f>
        <v>27.553679301018768</v>
      </c>
      <c r="I17" s="2">
        <f>$AD17*AH17</f>
        <v>2.4308007804407485</v>
      </c>
      <c r="J17" s="2">
        <f>$E17*AI17</f>
        <v>27</v>
      </c>
      <c r="K17" s="2">
        <f>$E17*AJ17</f>
        <v>89.810014727539908</v>
      </c>
      <c r="L17" s="2">
        <f>$E17*AK17</f>
        <v>83.999999999999758</v>
      </c>
      <c r="M17" s="2">
        <f>$E17*(AB17/100)</f>
        <v>46.831369662588003</v>
      </c>
      <c r="N17" s="2">
        <f>$E17*AL17</f>
        <v>2.9832106038291535</v>
      </c>
      <c r="O17" s="2">
        <f>$E17*(AA17/100)</f>
        <v>150.10162005399999</v>
      </c>
      <c r="P17" s="2">
        <f>$E17*AM17</f>
        <v>8.8889230769229872</v>
      </c>
      <c r="Q17" s="2">
        <f>$E17*AN17</f>
        <v>3</v>
      </c>
      <c r="R17" s="2">
        <f>$E17*AQ17</f>
        <v>0</v>
      </c>
      <c r="S17" s="2">
        <f>$E17*AO17</f>
        <v>26.943298969072156</v>
      </c>
      <c r="T17" s="2">
        <f>$E17*AP17</f>
        <v>6.9608247422679934</v>
      </c>
      <c r="U17" s="2">
        <f>S17-T17</f>
        <v>19.982474226804165</v>
      </c>
      <c r="V17" s="1">
        <f>F17/D17</f>
        <v>0.27771339884667751</v>
      </c>
      <c r="W17" s="1">
        <f>(F17+M17+N17+P17)/(D17+M17+N17+Q17)</f>
        <v>0.34705142882703238</v>
      </c>
      <c r="X17" s="1">
        <f>(G17+H17*2+I17*3+J17*4)/D17</f>
        <v>0.4705147829973596</v>
      </c>
      <c r="Y17" s="1">
        <f>W17+X17</f>
        <v>0.81756621182439204</v>
      </c>
      <c r="Z17">
        <v>0.3300198634</v>
      </c>
      <c r="AA17">
        <v>23.416789399999999</v>
      </c>
      <c r="AB17">
        <v>7.3059859068000002</v>
      </c>
      <c r="AD17" s="2">
        <f>(D17-O17-J17+Q17)*Z17</f>
        <v>134.70687658275878</v>
      </c>
      <c r="AE17">
        <v>0.24891450400000001</v>
      </c>
      <c r="AF17">
        <v>0.76886534518113403</v>
      </c>
      <c r="AG17">
        <v>0.204545454545454</v>
      </c>
      <c r="AH17">
        <v>1.8045112781954802E-2</v>
      </c>
      <c r="AI17">
        <v>4.2121684867394697E-2</v>
      </c>
      <c r="AJ17">
        <v>0.14010922734405601</v>
      </c>
      <c r="AK17">
        <v>0.131045241809672</v>
      </c>
      <c r="AL17">
        <v>4.6539947017615498E-3</v>
      </c>
      <c r="AM17">
        <v>1.38672746909875E-2</v>
      </c>
      <c r="AN17">
        <v>4.6801872074882997E-3</v>
      </c>
      <c r="AO17">
        <v>4.2033227720861398E-2</v>
      </c>
      <c r="AP17">
        <v>1.08593209707769E-2</v>
      </c>
      <c r="AQ17">
        <v>0</v>
      </c>
    </row>
    <row r="18" spans="1:43" x14ac:dyDescent="0.4">
      <c r="A18" t="s">
        <v>39</v>
      </c>
      <c r="B18" t="s">
        <v>44</v>
      </c>
      <c r="C18" s="4">
        <f>K18*1.9+G18*2.6+H18*5.2+I18*7.8+J18*10.4+L18*1.9+S18*4.2+M18*2.6+P18*2.6</f>
        <v>1292.0347612361654</v>
      </c>
      <c r="D18" s="2">
        <f>E18-M18-P18-Q18-R18</f>
        <v>574.0515225009508</v>
      </c>
      <c r="E18">
        <v>664</v>
      </c>
      <c r="F18" s="2">
        <f>AD18+J18</f>
        <v>142.36756881543286</v>
      </c>
      <c r="G18" s="2">
        <f>$AD18*AF18</f>
        <v>80.137197570467279</v>
      </c>
      <c r="H18" s="2">
        <f>$AD18*AG18</f>
        <v>28.354554878075174</v>
      </c>
      <c r="I18" s="2">
        <f>$AD18*AH18</f>
        <v>0.98529341275164695</v>
      </c>
      <c r="J18" s="2">
        <f>$E18*AI18</f>
        <v>32.999999999999943</v>
      </c>
      <c r="K18" s="2">
        <f>$E18*AJ18</f>
        <v>88.629737609329396</v>
      </c>
      <c r="L18" s="2">
        <f>$E18*AK18</f>
        <v>100.9999999999995</v>
      </c>
      <c r="M18" s="2">
        <f>$E18*(AB18/100)</f>
        <v>78.940233224240004</v>
      </c>
      <c r="N18" s="2">
        <f>$E18*AL18</f>
        <v>5.9807580174926738</v>
      </c>
      <c r="O18" s="2">
        <f>$E18*(AA18/100)</f>
        <v>157.7725947216</v>
      </c>
      <c r="P18" s="2">
        <f>$E18*AM18</f>
        <v>6.0082442748091252</v>
      </c>
      <c r="Q18" s="2">
        <f>$E18*AN18</f>
        <v>4.9999999999999929</v>
      </c>
      <c r="R18" s="2">
        <f>$E18*AQ18</f>
        <v>0</v>
      </c>
      <c r="S18" s="2">
        <f>$E18*AO18</f>
        <v>0.99679300291542228</v>
      </c>
      <c r="T18" s="2">
        <f>$E18*AP18</f>
        <v>0</v>
      </c>
      <c r="U18" s="2">
        <f>S18-T18</f>
        <v>0.99679300291542228</v>
      </c>
      <c r="V18" s="1">
        <f>F18/D18</f>
        <v>0.24800486234264288</v>
      </c>
      <c r="W18" s="1">
        <f>(F18+M18+N18+P18)/(D18+M18+N18+Q18)</f>
        <v>0.35136515368223015</v>
      </c>
      <c r="X18" s="1">
        <f>(G18+H18*2+I18*3+J18*4)/D18</f>
        <v>0.47348047502900253</v>
      </c>
      <c r="Y18" s="1">
        <f>W18+X18</f>
        <v>0.82484562871123268</v>
      </c>
      <c r="Z18">
        <v>0.28167268680000002</v>
      </c>
      <c r="AA18">
        <v>23.76093294</v>
      </c>
      <c r="AB18">
        <v>11.888589340999999</v>
      </c>
      <c r="AD18" s="2">
        <f>(D18-O18-J18+Q18)*Z18</f>
        <v>109.36756881543292</v>
      </c>
      <c r="AE18">
        <v>0.216139423</v>
      </c>
      <c r="AF18">
        <v>0.73273273273273198</v>
      </c>
      <c r="AG18">
        <v>0.25925925925925902</v>
      </c>
      <c r="AH18">
        <v>9.0090090090090003E-3</v>
      </c>
      <c r="AI18">
        <v>4.9698795180722802E-2</v>
      </c>
      <c r="AJ18">
        <v>0.133478520495978</v>
      </c>
      <c r="AK18">
        <v>0.15210843373493901</v>
      </c>
      <c r="AL18">
        <v>9.0071656889949905E-3</v>
      </c>
      <c r="AM18">
        <v>9.04856065483302E-3</v>
      </c>
      <c r="AN18">
        <v>7.5301204819277004E-3</v>
      </c>
      <c r="AO18">
        <v>1.50119428149913E-3</v>
      </c>
      <c r="AP18">
        <v>0</v>
      </c>
      <c r="AQ18">
        <v>0</v>
      </c>
    </row>
    <row r="19" spans="1:43" x14ac:dyDescent="0.4">
      <c r="A19" t="s">
        <v>172</v>
      </c>
      <c r="B19" t="s">
        <v>277</v>
      </c>
      <c r="C19" s="4">
        <f>K19*1.9+G19*2.6+H19*5.2+I19*7.8+J19*10.4+L19*1.9+S19*4.2+M19*2.6+P19*2.6</f>
        <v>1287.9479504528476</v>
      </c>
      <c r="D19" s="2">
        <f>E19-M19-P19-Q19-R19</f>
        <v>574.55321709486088</v>
      </c>
      <c r="E19">
        <v>658</v>
      </c>
      <c r="F19" s="2">
        <f>AD19+J19</f>
        <v>138.41231693384077</v>
      </c>
      <c r="G19" s="2">
        <f>$AD19*AF19</f>
        <v>76.708833468092465</v>
      </c>
      <c r="H19" s="2">
        <f>$AD19*AG19</f>
        <v>25.101058072019764</v>
      </c>
      <c r="I19" s="2">
        <f>$AD19*AH19</f>
        <v>1.0040423228807867</v>
      </c>
      <c r="J19" s="2">
        <f>$E19*AI19</f>
        <v>36</v>
      </c>
      <c r="K19" s="2">
        <f>$E19*AJ19</f>
        <v>85.844210526315436</v>
      </c>
      <c r="L19" s="2">
        <f>$E19*AK19</f>
        <v>100.99999999999982</v>
      </c>
      <c r="M19" s="2">
        <f>$E19*(AB19/100)</f>
        <v>64.427368421318008</v>
      </c>
      <c r="N19" s="2">
        <f>$E19*AL19</f>
        <v>4.3926315789473316</v>
      </c>
      <c r="O19" s="2">
        <f>$E19*(AA19/100)</f>
        <v>152.37894738919999</v>
      </c>
      <c r="P19" s="2">
        <f>$E19*AM19</f>
        <v>14.019414483821169</v>
      </c>
      <c r="Q19" s="2">
        <f>$E19*AN19</f>
        <v>4.9999999999999503</v>
      </c>
      <c r="R19" s="2">
        <f>$E19*AQ19</f>
        <v>0</v>
      </c>
      <c r="S19" s="2">
        <f>$E19*AO19</f>
        <v>3.9957894736842063</v>
      </c>
      <c r="T19" s="2">
        <f>$E19*AP19</f>
        <v>0.99894736842100551</v>
      </c>
      <c r="U19" s="2">
        <f>S19-T19</f>
        <v>2.9968421052632008</v>
      </c>
      <c r="V19" s="1">
        <f>F19/D19</f>
        <v>0.24090425884951294</v>
      </c>
      <c r="W19" s="1">
        <f>(F19+M19+N19+P19)/(D19+M19+N19+Q19)</f>
        <v>0.3412413184017537</v>
      </c>
      <c r="X19" s="1">
        <f>(G19+H19*2+I19*3+J19*4)/D19</f>
        <v>0.47675840710774164</v>
      </c>
      <c r="Y19" s="1">
        <f>W19+X19</f>
        <v>0.81799972550949529</v>
      </c>
      <c r="Z19">
        <v>0.26180739600000003</v>
      </c>
      <c r="AA19">
        <v>23.15789474</v>
      </c>
      <c r="AB19">
        <v>9.7913933771000004</v>
      </c>
      <c r="AD19" s="2">
        <f>(D19-O19-J19+Q19)*Z19</f>
        <v>102.41231693384076</v>
      </c>
      <c r="AE19">
        <v>0.21189877700000001</v>
      </c>
      <c r="AF19">
        <v>0.74901960784313704</v>
      </c>
      <c r="AG19">
        <v>0.24509803921568599</v>
      </c>
      <c r="AH19">
        <v>9.8039215686274005E-3</v>
      </c>
      <c r="AI19">
        <v>5.4711246200607903E-2</v>
      </c>
      <c r="AJ19">
        <v>0.130462326027835</v>
      </c>
      <c r="AK19">
        <v>0.15349544072948301</v>
      </c>
      <c r="AL19">
        <v>6.6757318828986802E-3</v>
      </c>
      <c r="AM19">
        <v>2.1306101039241899E-2</v>
      </c>
      <c r="AN19">
        <v>7.5987841945288001E-3</v>
      </c>
      <c r="AO19">
        <v>6.07262837945928E-3</v>
      </c>
      <c r="AP19">
        <v>1.51815709486475E-3</v>
      </c>
      <c r="AQ19">
        <v>0</v>
      </c>
    </row>
    <row r="20" spans="1:43" x14ac:dyDescent="0.4">
      <c r="A20" t="s">
        <v>61</v>
      </c>
      <c r="B20" t="s">
        <v>67</v>
      </c>
      <c r="C20" s="4">
        <f>K20*1.9+G20*2.6+H20*5.2+I20*7.8+J20*10.4+L20*1.9+S20*4.2+M20*2.6+P20*2.6</f>
        <v>1277.3014055713979</v>
      </c>
      <c r="D20" s="2">
        <f>E20-M20-P20-Q20-R20</f>
        <v>563.00416213158007</v>
      </c>
      <c r="E20">
        <v>638</v>
      </c>
      <c r="F20" s="2">
        <f>AD20+J20</f>
        <v>149.60988558083125</v>
      </c>
      <c r="G20" s="2">
        <f>$AD20*AF20</f>
        <v>85.012994356863544</v>
      </c>
      <c r="H20" s="2">
        <f>$AD20*AG20</f>
        <v>30.207662969443874</v>
      </c>
      <c r="I20" s="2">
        <f>$AD20*AH20</f>
        <v>2.5739975000853756</v>
      </c>
      <c r="J20" s="2">
        <f>$E20*AI20</f>
        <v>31.799999999999951</v>
      </c>
      <c r="K20" s="2">
        <f>$E20*AJ20</f>
        <v>88.685714285713999</v>
      </c>
      <c r="L20" s="2">
        <f>$E20*AK20</f>
        <v>93.999999999999886</v>
      </c>
      <c r="M20" s="2">
        <f>$E20*(AB20/100)</f>
        <v>64.083357868419995</v>
      </c>
      <c r="N20" s="2">
        <f>$E20*AL20</f>
        <v>9.8215022091309852</v>
      </c>
      <c r="O20" s="2">
        <f>$E20*(AA20/100)</f>
        <v>138.12371136519999</v>
      </c>
      <c r="P20" s="2">
        <f>$E20*AM20</f>
        <v>6.9124799999999871</v>
      </c>
      <c r="Q20" s="2">
        <f>$E20*AN20</f>
        <v>3.9999999999999822</v>
      </c>
      <c r="R20" s="2">
        <f>$E20*AQ20</f>
        <v>0</v>
      </c>
      <c r="S20" s="2">
        <f>$E20*AO20</f>
        <v>3.9758468335787729</v>
      </c>
      <c r="T20" s="2">
        <f>$E20*AP20</f>
        <v>0.99396170839466291</v>
      </c>
      <c r="U20" s="2">
        <f>S20-T20</f>
        <v>2.9818851251841099</v>
      </c>
      <c r="V20" s="1">
        <f>F20/D20</f>
        <v>0.26573495480814191</v>
      </c>
      <c r="W20" s="1">
        <f>(F20+M20+N20+P20)/(D20+M20+N20+Q20)</f>
        <v>0.35953187999153008</v>
      </c>
      <c r="X20" s="1">
        <f>(G20+H20*2+I20*3+J20*4)/D20</f>
        <v>0.49795424555047318</v>
      </c>
      <c r="Y20" s="1">
        <f>W20+X20</f>
        <v>0.85748612554200321</v>
      </c>
      <c r="Z20">
        <v>0.29669021819999902</v>
      </c>
      <c r="AA20">
        <v>21.64948454</v>
      </c>
      <c r="AB20">
        <v>10.044413458999999</v>
      </c>
      <c r="AD20" s="2">
        <f>(D20-O20-J20+Q20)*Z20</f>
        <v>117.80988558083129</v>
      </c>
      <c r="AE20">
        <v>0.23594651</v>
      </c>
      <c r="AF20">
        <v>0.72161172161172105</v>
      </c>
      <c r="AG20">
        <v>0.256410256410256</v>
      </c>
      <c r="AH20">
        <v>2.18487394957982E-2</v>
      </c>
      <c r="AI20">
        <v>4.9843260188087699E-2</v>
      </c>
      <c r="AJ20">
        <v>0.13900582176444201</v>
      </c>
      <c r="AK20">
        <v>0.14733542319749199</v>
      </c>
      <c r="AL20">
        <v>1.5394204089547E-2</v>
      </c>
      <c r="AM20">
        <v>1.08346081504702E-2</v>
      </c>
      <c r="AN20">
        <v>6.2695924764890002E-3</v>
      </c>
      <c r="AO20">
        <v>6.2317348488695502E-3</v>
      </c>
      <c r="AP20">
        <v>1.5579337122173401E-3</v>
      </c>
      <c r="AQ20">
        <v>0</v>
      </c>
    </row>
    <row r="21" spans="1:43" x14ac:dyDescent="0.4">
      <c r="A21" t="s">
        <v>138</v>
      </c>
      <c r="B21" t="s">
        <v>140</v>
      </c>
      <c r="C21" s="4">
        <f>K21*1.9+G21*2.6+H21*5.2+I21*7.8+J21*10.4+L21*1.9+S21*4.2+M21*2.6+P21*2.6</f>
        <v>1274.5694518774178</v>
      </c>
      <c r="D21" s="2">
        <f>E21-M21-P21-Q21-R21</f>
        <v>567.01834948492012</v>
      </c>
      <c r="E21">
        <v>651</v>
      </c>
      <c r="F21" s="2">
        <f>AD21+J21</f>
        <v>159.63971682007204</v>
      </c>
      <c r="G21" s="2">
        <f>$AD21*AF21</f>
        <v>102.98588470294091</v>
      </c>
      <c r="H21" s="2">
        <f>$AD21*AG21</f>
        <v>31.870079262625342</v>
      </c>
      <c r="I21" s="2">
        <f>$AD21*AH21</f>
        <v>1.9634245260010179</v>
      </c>
      <c r="J21" s="2">
        <f>$E21*AI21</f>
        <v>22.19999999999996</v>
      </c>
      <c r="K21" s="2">
        <f>$E21*AJ21</f>
        <v>92.574736842105025</v>
      </c>
      <c r="L21" s="2">
        <f>$E21*AK21</f>
        <v>88.999999999999716</v>
      </c>
      <c r="M21" s="2">
        <f>$E21*(AB21/100)</f>
        <v>70.244210515079999</v>
      </c>
      <c r="N21" s="2">
        <f>$E21*AL21</f>
        <v>8.9810526315789012</v>
      </c>
      <c r="O21" s="2">
        <f>$E21*(AA21/100)</f>
        <v>106.70526313440001</v>
      </c>
      <c r="P21" s="2">
        <f>$E21*AM21</f>
        <v>8.1374399999999465</v>
      </c>
      <c r="Q21" s="2">
        <f>$E21*AN21</f>
        <v>5.5999999999999552</v>
      </c>
      <c r="R21" s="2">
        <f>$E21*AQ21</f>
        <v>0</v>
      </c>
      <c r="S21" s="2">
        <f>$E21*AO21</f>
        <v>10.976842105263115</v>
      </c>
      <c r="T21" s="2">
        <f>$E21*AP21</f>
        <v>2.8957894736841538</v>
      </c>
      <c r="U21" s="2">
        <f>S21-T21</f>
        <v>8.0810526315789613</v>
      </c>
      <c r="V21" s="1">
        <f>F21/D21</f>
        <v>0.28154241739282138</v>
      </c>
      <c r="W21" s="1">
        <f>(F21+M21+N21+P21)/(D21+M21+N21+Q21)</f>
        <v>0.37892895654764402</v>
      </c>
      <c r="X21" s="1">
        <f>(G21+H21*2+I21*3+J21*4)/D21</f>
        <v>0.46103678486536676</v>
      </c>
      <c r="Y21" s="1">
        <f>W21+X21</f>
        <v>0.83996574141301084</v>
      </c>
      <c r="Z21">
        <v>0.30974907219999998</v>
      </c>
      <c r="AA21">
        <v>16.39097744</v>
      </c>
      <c r="AB21">
        <v>10.790201308</v>
      </c>
      <c r="AD21" s="2">
        <f>(D21-O21-J21+Q21)*Z21</f>
        <v>137.43971682007208</v>
      </c>
      <c r="AE21">
        <v>0.24856978499999999</v>
      </c>
      <c r="AF21">
        <v>0.74931677018633502</v>
      </c>
      <c r="AG21">
        <v>0.231884057971014</v>
      </c>
      <c r="AH21">
        <v>1.42857142857142E-2</v>
      </c>
      <c r="AI21">
        <v>3.4101382488479201E-2</v>
      </c>
      <c r="AJ21">
        <v>0.142203896838871</v>
      </c>
      <c r="AK21">
        <v>0.13671274961597499</v>
      </c>
      <c r="AL21">
        <v>1.3795779772010601E-2</v>
      </c>
      <c r="AM21">
        <v>1.24999078341013E-2</v>
      </c>
      <c r="AN21">
        <v>8.6021505376343392E-3</v>
      </c>
      <c r="AO21">
        <v>1.68615086102352E-2</v>
      </c>
      <c r="AP21">
        <v>4.4482173174871797E-3</v>
      </c>
      <c r="AQ21">
        <v>0</v>
      </c>
    </row>
    <row r="22" spans="1:43" x14ac:dyDescent="0.4">
      <c r="A22" t="s">
        <v>39</v>
      </c>
      <c r="B22" t="s">
        <v>40</v>
      </c>
      <c r="C22" s="4">
        <f>K22*1.9+G22*2.6+H22*5.2+I22*7.8+J22*10.4+L22*1.9+S22*4.2+M22*2.6+P22*2.6</f>
        <v>1271.7901452448691</v>
      </c>
      <c r="D22" s="2">
        <f>E22-M22-P22-Q22-R22</f>
        <v>577.79010718938082</v>
      </c>
      <c r="E22">
        <v>648</v>
      </c>
      <c r="F22" s="2">
        <f>AD22+J22</f>
        <v>155.31520264227709</v>
      </c>
      <c r="G22" s="2">
        <f>$AD22*AF22</f>
        <v>89.902493744832569</v>
      </c>
      <c r="H22" s="2">
        <f>$AD22*AG22</f>
        <v>30.728800660569291</v>
      </c>
      <c r="I22" s="2">
        <f>$AD22*AH22</f>
        <v>1.9921740160746713</v>
      </c>
      <c r="J22" s="2">
        <f>$E22*AI22</f>
        <v>32.399999999999935</v>
      </c>
      <c r="K22" s="2">
        <f>$E22*AJ22</f>
        <v>90.625036818851072</v>
      </c>
      <c r="L22" s="2">
        <f>$E22*AK22</f>
        <v>92.999999999999659</v>
      </c>
      <c r="M22" s="2">
        <f>$E22*(AB22/100)</f>
        <v>54.844329896712004</v>
      </c>
      <c r="N22" s="2">
        <f>$E22*AL22</f>
        <v>2.2954344624447551</v>
      </c>
      <c r="O22" s="2">
        <f>$E22*(AA22/100)</f>
        <v>157.46686305840001</v>
      </c>
      <c r="P22" s="2">
        <f>$E22*AM22</f>
        <v>9.9655629139071866</v>
      </c>
      <c r="Q22" s="2">
        <f>$E22*AN22</f>
        <v>5.3999999999999648</v>
      </c>
      <c r="R22" s="2">
        <f>$E22*AQ22</f>
        <v>0</v>
      </c>
      <c r="S22" s="2">
        <f>$E22*AO22</f>
        <v>1.990868924889527</v>
      </c>
      <c r="T22" s="2">
        <f>$E22*AP22</f>
        <v>0</v>
      </c>
      <c r="U22" s="2">
        <f>S22-T22</f>
        <v>1.990868924889527</v>
      </c>
      <c r="V22" s="1">
        <f>F22/D22</f>
        <v>0.26880903758944041</v>
      </c>
      <c r="W22" s="1">
        <f>(F22+M22+N22+P22)/(D22+M22+N22+Q22)</f>
        <v>0.34735304379514853</v>
      </c>
      <c r="X22" s="1">
        <f>(G22+H22*2+I22*3+J22*4)/D22</f>
        <v>0.49661047072954889</v>
      </c>
      <c r="Y22" s="1">
        <f>W22+X22</f>
        <v>0.84396351452469742</v>
      </c>
      <c r="Z22">
        <v>0.3125042938</v>
      </c>
      <c r="AA22">
        <v>24.30044183</v>
      </c>
      <c r="AB22">
        <v>8.4636311569</v>
      </c>
      <c r="AD22" s="2">
        <f>(D22-O22-J22+Q22)*Z22</f>
        <v>122.91520264227717</v>
      </c>
      <c r="AE22">
        <v>0.23979536500000001</v>
      </c>
      <c r="AF22">
        <v>0.73141883031733501</v>
      </c>
      <c r="AG22">
        <v>0.25</v>
      </c>
      <c r="AH22">
        <v>1.62077104642014E-2</v>
      </c>
      <c r="AI22">
        <v>4.9999999999999899E-2</v>
      </c>
      <c r="AJ22">
        <v>0.139853451880943</v>
      </c>
      <c r="AK22">
        <v>0.14351851851851799</v>
      </c>
      <c r="AL22">
        <v>3.5423371334023998E-3</v>
      </c>
      <c r="AM22">
        <v>1.53789551140543E-2</v>
      </c>
      <c r="AN22">
        <v>8.3333333333332794E-3</v>
      </c>
      <c r="AO22">
        <v>3.0723285877924801E-3</v>
      </c>
      <c r="AP22">
        <v>0</v>
      </c>
      <c r="AQ22">
        <v>0</v>
      </c>
    </row>
    <row r="23" spans="1:43" x14ac:dyDescent="0.4">
      <c r="A23" t="s">
        <v>61</v>
      </c>
      <c r="B23" t="s">
        <v>64</v>
      </c>
      <c r="C23" s="4">
        <f>K23*1.9+G23*2.6+H23*5.2+I23*7.8+J23*10.4+L23*1.9+S23*4.2+M23*2.6+P23*2.6</f>
        <v>1269.4925702598339</v>
      </c>
      <c r="D23" s="2">
        <f>E23-M23-P23-Q23-R23</f>
        <v>585.1742309388128</v>
      </c>
      <c r="E23">
        <v>646</v>
      </c>
      <c r="F23" s="2">
        <f>AD23+J23</f>
        <v>157.30548717238082</v>
      </c>
      <c r="G23" s="2">
        <f>$AD23*AF23</f>
        <v>95.27721845151703</v>
      </c>
      <c r="H23" s="2">
        <f>$AD23*AG23</f>
        <v>36.131866218881932</v>
      </c>
      <c r="I23" s="2">
        <f>$AD23*AH23</f>
        <v>7.5729618885618253</v>
      </c>
      <c r="J23" s="2">
        <f>$E23*AI23</f>
        <v>18.799999999999912</v>
      </c>
      <c r="K23" s="2">
        <f>$E23*AJ23</f>
        <v>92.38237082066847</v>
      </c>
      <c r="L23" s="2">
        <f>$E23*AK23</f>
        <v>68.999999999999403</v>
      </c>
      <c r="M23" s="2">
        <f>$E23*(AB23/100)</f>
        <v>49.908814587089935</v>
      </c>
      <c r="N23" s="2">
        <f>$E23*AL23</f>
        <v>1.3981762917932743</v>
      </c>
      <c r="O23" s="2">
        <f>$E23*(AA23/100)</f>
        <v>147.26443766680001</v>
      </c>
      <c r="P23" s="2">
        <f>$E23*AM23</f>
        <v>6.9084772370485616</v>
      </c>
      <c r="Q23" s="2">
        <f>$E23*AN23</f>
        <v>2.9999999999999911</v>
      </c>
      <c r="R23" s="2">
        <f>$E23*AQ23</f>
        <v>1.0084772370486257</v>
      </c>
      <c r="S23" s="2">
        <f>$E23*AO23</f>
        <v>29.748936170212705</v>
      </c>
      <c r="T23" s="2">
        <f>$E23*AP23</f>
        <v>5.9890577507598586</v>
      </c>
      <c r="U23" s="2">
        <f>S23-T23</f>
        <v>23.759878419452846</v>
      </c>
      <c r="V23" s="1">
        <f>F23/D23</f>
        <v>0.26881820636566794</v>
      </c>
      <c r="W23" s="1">
        <f>(F23+M23+N23+P23)/(D23+M23+N23+Q23)</f>
        <v>0.33702468178143558</v>
      </c>
      <c r="X23" s="1">
        <f>(G23+H23*2+I23*3+J23*4)/D23</f>
        <v>0.45364238977010446</v>
      </c>
      <c r="Y23" s="1">
        <f>W23+X23</f>
        <v>0.79066707155154003</v>
      </c>
      <c r="Z23">
        <v>0.32812668499999997</v>
      </c>
      <c r="AA23">
        <v>22.796352580000001</v>
      </c>
      <c r="AB23">
        <v>7.7258226914999897</v>
      </c>
      <c r="AD23" s="2">
        <f>(D23-O23-J23+Q23)*Z23</f>
        <v>138.5054871723809</v>
      </c>
      <c r="AE23">
        <v>0.243832046</v>
      </c>
      <c r="AF23">
        <v>0.687894901470128</v>
      </c>
      <c r="AG23">
        <v>0.26086956521739102</v>
      </c>
      <c r="AH23">
        <v>5.4676258992805697E-2</v>
      </c>
      <c r="AI23">
        <v>2.9102167182662401E-2</v>
      </c>
      <c r="AJ23">
        <v>0.14300676597626699</v>
      </c>
      <c r="AK23">
        <v>0.106811145510835</v>
      </c>
      <c r="AL23">
        <v>2.16435958481931E-3</v>
      </c>
      <c r="AM23">
        <v>1.0694237209053501E-2</v>
      </c>
      <c r="AN23">
        <v>4.6439628482971996E-3</v>
      </c>
      <c r="AO23">
        <v>4.6050984783610999E-2</v>
      </c>
      <c r="AP23">
        <v>9.2709872302784192E-3</v>
      </c>
      <c r="AQ23">
        <v>1.56111027406908E-3</v>
      </c>
    </row>
    <row r="24" spans="1:43" x14ac:dyDescent="0.4">
      <c r="A24" t="s">
        <v>180</v>
      </c>
      <c r="B24" t="s">
        <v>187</v>
      </c>
      <c r="C24" s="4">
        <f>K24*1.9+G24*2.6+H24*5.2+I24*7.8+J24*10.4+L24*1.9+S24*4.2+M24*2.6+P24*2.6</f>
        <v>1246.0826154240117</v>
      </c>
      <c r="D24" s="2">
        <f>E24-M24-P24-Q24-R24</f>
        <v>542.14766902387726</v>
      </c>
      <c r="E24">
        <v>604</v>
      </c>
      <c r="F24" s="2">
        <f>AD24+J24</f>
        <v>133.84211379652513</v>
      </c>
      <c r="G24" s="2">
        <f>$AD24*AF24</f>
        <v>80.829653853021981</v>
      </c>
      <c r="H24" s="2">
        <f>$AD24*AG24</f>
        <v>24.281233312420735</v>
      </c>
      <c r="I24" s="2">
        <f>$AD24*AH24</f>
        <v>3.4076933355905061</v>
      </c>
      <c r="J24" s="2">
        <f>$E24*AI24</f>
        <v>26.599999999999909</v>
      </c>
      <c r="K24" s="2">
        <f>$E24*AJ24</f>
        <v>82.405911330048724</v>
      </c>
      <c r="L24" s="2">
        <f>$E24*AK24</f>
        <v>75.999999999999744</v>
      </c>
      <c r="M24" s="2">
        <f>$E24*(AB24/100)</f>
        <v>51.858128077571997</v>
      </c>
      <c r="N24" s="2">
        <f>$E24*AL24</f>
        <v>2.5975369458127697</v>
      </c>
      <c r="O24" s="2">
        <f>$E24*(AA24/100)</f>
        <v>151.74384236840001</v>
      </c>
      <c r="P24" s="2">
        <f>$E24*AM24</f>
        <v>4.9376811594202694</v>
      </c>
      <c r="Q24" s="2">
        <f>$E24*AN24</f>
        <v>3.9999999999999449</v>
      </c>
      <c r="R24" s="2">
        <f>$E24*AQ24</f>
        <v>1.0565217391303989</v>
      </c>
      <c r="S24" s="2">
        <f>$E24*AO24</f>
        <v>37.572085385878474</v>
      </c>
      <c r="T24" s="2">
        <f>$E24*AP24</f>
        <v>8.9926108374384004</v>
      </c>
      <c r="U24" s="2">
        <f>S24-T24</f>
        <v>28.579474548440075</v>
      </c>
      <c r="V24" s="1">
        <f>F24/D24</f>
        <v>0.24687390805812071</v>
      </c>
      <c r="W24" s="1">
        <f>(F24+M24+N24+P24)/(D24+M24+N24+Q24)</f>
        <v>0.321735576586267</v>
      </c>
      <c r="X24" s="1">
        <f>(G24+H24*2+I24*3+J24*4)/D24</f>
        <v>0.45377895090387188</v>
      </c>
      <c r="Y24" s="1">
        <f>W24+X24</f>
        <v>0.77551452749013894</v>
      </c>
      <c r="Z24">
        <v>0.29157421979999998</v>
      </c>
      <c r="AA24">
        <v>25.123152709999999</v>
      </c>
      <c r="AB24">
        <v>8.5857827943</v>
      </c>
      <c r="AD24" s="2">
        <f>(D24-O24-J24+Q24)*Z24</f>
        <v>107.24211379652522</v>
      </c>
      <c r="AE24">
        <v>0.22117820199999999</v>
      </c>
      <c r="AF24">
        <v>0.75371186739552098</v>
      </c>
      <c r="AG24">
        <v>0.22641509433962201</v>
      </c>
      <c r="AH24">
        <v>3.17757009345793E-2</v>
      </c>
      <c r="AI24">
        <v>4.4039735099337597E-2</v>
      </c>
      <c r="AJ24">
        <v>0.13643362802988199</v>
      </c>
      <c r="AK24">
        <v>0.12582781456953601</v>
      </c>
      <c r="AL24">
        <v>4.3005578573059103E-3</v>
      </c>
      <c r="AM24">
        <v>8.1749688069872005E-3</v>
      </c>
      <c r="AN24">
        <v>6.6225165562912996E-3</v>
      </c>
      <c r="AO24">
        <v>6.2205439380593502E-2</v>
      </c>
      <c r="AP24">
        <v>1.4888428538805299E-2</v>
      </c>
      <c r="AQ24">
        <v>1.7492081773682101E-3</v>
      </c>
    </row>
    <row r="25" spans="1:43" x14ac:dyDescent="0.4">
      <c r="A25" t="s">
        <v>189</v>
      </c>
      <c r="B25" t="s">
        <v>192</v>
      </c>
      <c r="C25" s="4">
        <f>K25*1.9+G25*2.6+H25*5.2+I25*7.8+J25*10.4+L25*1.9+S25*4.2+M25*2.6+P25*2.6</f>
        <v>1245.6682167051954</v>
      </c>
      <c r="D25" s="2">
        <f>E25-M25-P25-Q25-R25</f>
        <v>532.4700031988308</v>
      </c>
      <c r="E25">
        <v>622</v>
      </c>
      <c r="F25" s="2">
        <f>AD25+J25</f>
        <v>145.40314068087659</v>
      </c>
      <c r="G25" s="2">
        <f>$AD25*AF25</f>
        <v>86.178266119854754</v>
      </c>
      <c r="H25" s="2">
        <f>$AD25*AG25</f>
        <v>29.049504871810207</v>
      </c>
      <c r="I25" s="2">
        <f>$AD25*AH25</f>
        <v>0.98514992298244541</v>
      </c>
      <c r="J25" s="2">
        <f>$E25*AI25</f>
        <v>26.199999999999907</v>
      </c>
      <c r="K25" s="2">
        <f>$E25*AJ25</f>
        <v>87.714285714285182</v>
      </c>
      <c r="L25" s="2">
        <f>$E25*AK25</f>
        <v>87.999999999999645</v>
      </c>
      <c r="M25" s="2">
        <f>$E25*(AB25/100)</f>
        <v>79.23744360968</v>
      </c>
      <c r="N25" s="2">
        <f>$E25*AL25</f>
        <v>9.2288721804511038</v>
      </c>
      <c r="O25" s="2">
        <f>$E25*(AA25/100)</f>
        <v>135.6240601616</v>
      </c>
      <c r="P25" s="2">
        <f>$E25*AM25</f>
        <v>4.8308510638297779</v>
      </c>
      <c r="Q25" s="2">
        <f>$E25*AN25</f>
        <v>4.3999999999999693</v>
      </c>
      <c r="R25" s="2">
        <f>$E25*AQ25</f>
        <v>1.0617021276595311</v>
      </c>
      <c r="S25" s="2">
        <f>$E25*AO25</f>
        <v>9.0353383458645684</v>
      </c>
      <c r="T25" s="2">
        <f>$E25*AP25</f>
        <v>3.8806015037593569</v>
      </c>
      <c r="U25" s="2">
        <f>S25-T25</f>
        <v>5.154736842105212</v>
      </c>
      <c r="V25" s="1">
        <f>F25/D25</f>
        <v>0.27307292393442356</v>
      </c>
      <c r="W25" s="1">
        <f>(F25+M25+N25+P25)/(D25+M25+N25+Q25)</f>
        <v>0.38171508720421998</v>
      </c>
      <c r="X25" s="1">
        <f>(G25+H25*2+I25*3+J25*4)/D25</f>
        <v>0.47332755670427884</v>
      </c>
      <c r="Y25" s="1">
        <f>W25+X25</f>
        <v>0.85504264390849882</v>
      </c>
      <c r="Z25">
        <v>0.31783610220000003</v>
      </c>
      <c r="AA25">
        <v>21.80451128</v>
      </c>
      <c r="AB25">
        <v>12.739138843999999</v>
      </c>
      <c r="AD25" s="2">
        <f>(D25-O25-J25+Q25)*Z25</f>
        <v>119.20314068087669</v>
      </c>
      <c r="AE25">
        <v>0.23628919600000001</v>
      </c>
      <c r="AF25">
        <v>0.72295298284603005</v>
      </c>
      <c r="AG25">
        <v>0.24369747899159599</v>
      </c>
      <c r="AH25">
        <v>8.2644628099173001E-3</v>
      </c>
      <c r="AI25">
        <v>4.2122186495176697E-2</v>
      </c>
      <c r="AJ25">
        <v>0.14101975195222699</v>
      </c>
      <c r="AK25">
        <v>0.14147909967845601</v>
      </c>
      <c r="AL25">
        <v>1.48374150811111E-2</v>
      </c>
      <c r="AM25">
        <v>7.7666415817199E-3</v>
      </c>
      <c r="AN25">
        <v>7.0739549839227804E-3</v>
      </c>
      <c r="AO25">
        <v>1.4526267437081301E-2</v>
      </c>
      <c r="AP25">
        <v>6.2389091700311202E-3</v>
      </c>
      <c r="AQ25">
        <v>1.7069166039542301E-3</v>
      </c>
    </row>
    <row r="26" spans="1:43" x14ac:dyDescent="0.4">
      <c r="A26" t="s">
        <v>20</v>
      </c>
      <c r="B26" t="s">
        <v>28</v>
      </c>
      <c r="C26" s="4">
        <f>K26*1.9+G26*2.6+H26*5.2+I26*7.8+J26*10.4+L26*1.9+S26*4.2+M26*2.6+P26*2.6</f>
        <v>1244.9263653943374</v>
      </c>
      <c r="D26" s="2">
        <f>E26-M26-P26-Q26-R26</f>
        <v>538.70707200938512</v>
      </c>
      <c r="E26">
        <v>614</v>
      </c>
      <c r="F26" s="2">
        <f>AD26+J26</f>
        <v>148.00972323512354</v>
      </c>
      <c r="G26" s="2">
        <f>$AD26*AF26</f>
        <v>86.916984487084008</v>
      </c>
      <c r="H26" s="2">
        <f>$AD26*AG26</f>
        <v>31.687796258393078</v>
      </c>
      <c r="I26" s="2">
        <f>$AD26*AH26</f>
        <v>3.0303951584608653</v>
      </c>
      <c r="J26" s="2">
        <f>$E26*AI26</f>
        <v>27.199999999999889</v>
      </c>
      <c r="K26" s="2">
        <f>$E26*AJ26</f>
        <v>86.806907378335424</v>
      </c>
      <c r="L26" s="2">
        <f>$E26*AK26</f>
        <v>88.999999999999645</v>
      </c>
      <c r="M26" s="2">
        <f>$E26*(AB26/100)</f>
        <v>64.95808478504</v>
      </c>
      <c r="N26" s="2">
        <f>$E26*AL26</f>
        <v>4.0819466248037486</v>
      </c>
      <c r="O26" s="2">
        <f>$E26*(AA26/100)</f>
        <v>110.84772372800001</v>
      </c>
      <c r="P26" s="2">
        <f>$E26*AM26</f>
        <v>5.9348432055748903</v>
      </c>
      <c r="Q26" s="2">
        <f>$E26*AN26</f>
        <v>4.3999999999999826</v>
      </c>
      <c r="R26" s="2">
        <f>$E26*AQ26</f>
        <v>0</v>
      </c>
      <c r="S26" s="2">
        <f>$E26*AO26</f>
        <v>6.9747252747251887</v>
      </c>
      <c r="T26" s="2">
        <f>$E26*AP26</f>
        <v>1.992778649921499</v>
      </c>
      <c r="U26" s="2">
        <f>S26-T26</f>
        <v>4.9819466248036894</v>
      </c>
      <c r="V26" s="1">
        <f>F26/D26</f>
        <v>0.2747499168389328</v>
      </c>
      <c r="W26" s="1">
        <f>(F26+M26+N26+P26)/(D26+M26+N26+Q26)</f>
        <v>0.36426636114919453</v>
      </c>
      <c r="X26" s="1">
        <f>(G26+H26*2+I26*3+J26*4)/D26</f>
        <v>0.49782855361249118</v>
      </c>
      <c r="Y26" s="1">
        <f>W26+X26</f>
        <v>0.86209491476168565</v>
      </c>
      <c r="Z26">
        <v>0.29825190739999902</v>
      </c>
      <c r="AA26">
        <v>18.053375200000001</v>
      </c>
      <c r="AB26">
        <v>10.579492635999999</v>
      </c>
      <c r="AD26" s="2">
        <f>(D26-O26-J26+Q26)*Z26</f>
        <v>120.80972323512366</v>
      </c>
      <c r="AE26">
        <v>0.242085253</v>
      </c>
      <c r="AF26">
        <v>0.71945355191256799</v>
      </c>
      <c r="AG26">
        <v>0.26229508196721302</v>
      </c>
      <c r="AH26">
        <v>2.50840336134453E-2</v>
      </c>
      <c r="AI26">
        <v>4.4299674267100797E-2</v>
      </c>
      <c r="AJ26">
        <v>0.141379327977745</v>
      </c>
      <c r="AK26">
        <v>0.14495114006514601</v>
      </c>
      <c r="AL26">
        <v>6.6481215387683198E-3</v>
      </c>
      <c r="AM26">
        <v>9.6658684129884206E-3</v>
      </c>
      <c r="AN26">
        <v>7.1661237785015999E-3</v>
      </c>
      <c r="AO26">
        <v>1.13594874181192E-2</v>
      </c>
      <c r="AP26">
        <v>3.2455678337483698E-3</v>
      </c>
      <c r="AQ26">
        <v>0</v>
      </c>
    </row>
    <row r="27" spans="1:43" x14ac:dyDescent="0.4">
      <c r="A27" t="s">
        <v>31</v>
      </c>
      <c r="B27" t="s">
        <v>32</v>
      </c>
      <c r="C27" s="4">
        <f>K27*1.9+G27*2.6+H27*5.2+I27*7.8+J27*10.4+L27*1.9+S27*4.2+M27*2.6+P27*2.6</f>
        <v>1226.6997818071627</v>
      </c>
      <c r="D27" s="2">
        <f>E27-M27-P27-Q27-R27</f>
        <v>533.88566322677843</v>
      </c>
      <c r="E27">
        <v>603</v>
      </c>
      <c r="F27" s="2">
        <f>AD27+J27</f>
        <v>133.54662197009529</v>
      </c>
      <c r="G27" s="2">
        <f>$AD27*AF27</f>
        <v>72.007413326883494</v>
      </c>
      <c r="H27" s="2">
        <f>$AD27*AG27</f>
        <v>25.139444380126307</v>
      </c>
      <c r="I27" s="2">
        <f>$AD27*AH27</f>
        <v>1.5889372861982296</v>
      </c>
      <c r="J27" s="2">
        <f>$E27*AI27</f>
        <v>34.99999999999995</v>
      </c>
      <c r="K27" s="2">
        <f>$E27*AJ27</f>
        <v>81.514906832298095</v>
      </c>
      <c r="L27" s="2">
        <f>$E27*AK27</f>
        <v>91.99999999999946</v>
      </c>
      <c r="M27" s="2">
        <f>$E27*(AB27/100)</f>
        <v>55.398913044407998</v>
      </c>
      <c r="N27" s="2">
        <f>$E27*AL27</f>
        <v>3.3809006211179895</v>
      </c>
      <c r="O27" s="2">
        <f>$E27*(AA27/100)</f>
        <v>177.9037267077</v>
      </c>
      <c r="P27" s="2">
        <f>$E27*AM27</f>
        <v>9.7154237288135246</v>
      </c>
      <c r="Q27" s="2">
        <f>$E27*AN27</f>
        <v>3.9999999999999982</v>
      </c>
      <c r="R27" s="2">
        <f>$E27*AQ27</f>
        <v>0</v>
      </c>
      <c r="S27" s="2">
        <f>$E27*AO27</f>
        <v>7.9490683229813621</v>
      </c>
      <c r="T27" s="2">
        <f>$E27*AP27</f>
        <v>1.9872670807453405</v>
      </c>
      <c r="U27" s="2">
        <f>S27-T27</f>
        <v>5.9618012422360218</v>
      </c>
      <c r="V27" s="1">
        <f>F27/D27</f>
        <v>0.25014086567327193</v>
      </c>
      <c r="W27" s="1">
        <f>(F27+M27+N27+P27)/(D27+M27+N27+Q27)</f>
        <v>0.3386183166097651</v>
      </c>
      <c r="X27" s="1">
        <f>(G27+H27*2+I27*3+J27*4)/D27</f>
        <v>0.50020656545012809</v>
      </c>
      <c r="Y27" s="1">
        <f>W27+X27</f>
        <v>0.83882488205989314</v>
      </c>
      <c r="Z27">
        <v>0.30323722919999901</v>
      </c>
      <c r="AA27">
        <v>29.503105590000001</v>
      </c>
      <c r="AB27">
        <v>9.1872160936</v>
      </c>
      <c r="AD27" s="2">
        <f>(D27-O27-J27+Q27)*Z27</f>
        <v>98.54662197009533</v>
      </c>
      <c r="AE27">
        <v>0.22140690499999999</v>
      </c>
      <c r="AF27">
        <v>0.73069387755102</v>
      </c>
      <c r="AG27">
        <v>0.25510204081632598</v>
      </c>
      <c r="AH27">
        <v>1.6123711340206098E-2</v>
      </c>
      <c r="AI27">
        <v>5.8043117744610198E-2</v>
      </c>
      <c r="AJ27">
        <v>0.13518226672022901</v>
      </c>
      <c r="AK27">
        <v>0.152570480928689</v>
      </c>
      <c r="AL27">
        <v>5.6068003666964999E-3</v>
      </c>
      <c r="AM27">
        <v>1.6111813812294401E-2</v>
      </c>
      <c r="AN27">
        <v>6.6334991708126003E-3</v>
      </c>
      <c r="AO27">
        <v>1.3182534532307401E-2</v>
      </c>
      <c r="AP27">
        <v>3.2956336330768501E-3</v>
      </c>
      <c r="AQ27">
        <v>0</v>
      </c>
    </row>
    <row r="28" spans="1:43" x14ac:dyDescent="0.4">
      <c r="A28" t="s">
        <v>199</v>
      </c>
      <c r="B28" s="3" t="s">
        <v>204</v>
      </c>
      <c r="C28" s="4">
        <f>K28*1.9+G28*2.6+H28*5.2+I28*7.8+J28*10.4+L28*1.9+S28*4.2+M28*2.6+P28*2.6</f>
        <v>1225.5142336761971</v>
      </c>
      <c r="D28" s="2">
        <f>E28-M28-P28-Q28-R28</f>
        <v>540.14122278879051</v>
      </c>
      <c r="E28">
        <v>602</v>
      </c>
      <c r="F28" s="2">
        <f>AD28+J28</f>
        <v>137.25426711206637</v>
      </c>
      <c r="G28" s="2">
        <f>$AD28*AF28</f>
        <v>77.630100217230421</v>
      </c>
      <c r="H28" s="2">
        <f>$AD28*AG28</f>
        <v>30.266740864462793</v>
      </c>
      <c r="I28" s="2">
        <f>$AD28*AH28</f>
        <v>2.9343546838094947</v>
      </c>
      <c r="J28" s="2">
        <f>$E28*AI28</f>
        <v>28.294</v>
      </c>
      <c r="K28" s="2">
        <f>$E28*AJ28</f>
        <v>81.186666666666568</v>
      </c>
      <c r="L28" s="2">
        <f>$E28*AK28</f>
        <v>80.668000000000006</v>
      </c>
      <c r="M28" s="2">
        <f>$E28*(AB28/100)</f>
        <v>53.951111112401996</v>
      </c>
      <c r="N28" s="2">
        <f>$E28*AL28</f>
        <v>3.4822222222221964</v>
      </c>
      <c r="O28" s="2">
        <f>$E28*(AA28/100)</f>
        <v>172.95555555459998</v>
      </c>
      <c r="P28" s="2">
        <f>$E28*AM28</f>
        <v>3.9076660988074634</v>
      </c>
      <c r="Q28" s="2">
        <f>$E28*AN28</f>
        <v>3.9999999999999702</v>
      </c>
      <c r="R28" s="2">
        <f>$E28*AQ28</f>
        <v>0</v>
      </c>
      <c r="S28" s="2">
        <f>$E28*AO28</f>
        <v>21.711111111111016</v>
      </c>
      <c r="T28" s="2">
        <f>$E28*AP28</f>
        <v>3.9822222222221866</v>
      </c>
      <c r="U28" s="2">
        <f>S28-T28</f>
        <v>17.728888888888829</v>
      </c>
      <c r="V28" s="1">
        <f>F28/D28</f>
        <v>0.25410811343635664</v>
      </c>
      <c r="W28" s="1">
        <f>(F28+M28+N28+P28)/(D28+M28+N28+Q28)</f>
        <v>0.33012577497502343</v>
      </c>
      <c r="X28" s="1">
        <f>(G28+H28*2+I28*3+J28*4)/D28</f>
        <v>0.48161968578226283</v>
      </c>
      <c r="Y28" s="1">
        <f>W28+X28</f>
        <v>0.81174546075728626</v>
      </c>
      <c r="Z28">
        <v>0.317768781</v>
      </c>
      <c r="AA28">
        <v>28.730158729999999</v>
      </c>
      <c r="AB28">
        <v>8.9619785900999993</v>
      </c>
      <c r="AD28" s="2">
        <f>(D28-O28-J28+Q28)*Z28</f>
        <v>108.96026711206636</v>
      </c>
      <c r="AE28">
        <v>0.226333964</v>
      </c>
      <c r="AF28">
        <v>0.71246246246246203</v>
      </c>
      <c r="AG28">
        <v>0.27777777777777701</v>
      </c>
      <c r="AH28">
        <v>2.69305019305018E-2</v>
      </c>
      <c r="AI28">
        <v>4.7E-2</v>
      </c>
      <c r="AJ28">
        <v>0.13486157253599099</v>
      </c>
      <c r="AK28">
        <v>0.13400000000000001</v>
      </c>
      <c r="AL28">
        <v>5.7844222960501601E-3</v>
      </c>
      <c r="AM28">
        <v>6.4911396990157202E-3</v>
      </c>
      <c r="AN28">
        <v>6.6445182724251999E-3</v>
      </c>
      <c r="AO28">
        <v>3.6064968623107999E-2</v>
      </c>
      <c r="AP28">
        <v>6.6149870801033E-3</v>
      </c>
      <c r="AQ28">
        <v>0</v>
      </c>
    </row>
    <row r="29" spans="1:43" x14ac:dyDescent="0.4">
      <c r="A29" t="s">
        <v>154</v>
      </c>
      <c r="B29" s="3" t="s">
        <v>158</v>
      </c>
      <c r="C29" s="4">
        <f>K29*1.9+G29*2.6+H29*5.2+I29*7.8+J29*10.4+L29*1.9+S29*4.2+M29*2.6+P29*2.6</f>
        <v>1225.2634003144226</v>
      </c>
      <c r="D29" s="2">
        <f>E29-M29-P29-Q29-R29</f>
        <v>581.9293197515841</v>
      </c>
      <c r="E29">
        <v>633</v>
      </c>
      <c r="F29" s="2">
        <f>AD29+J29</f>
        <v>157.89434468930526</v>
      </c>
      <c r="G29" s="2">
        <f>$AD29*AF29</f>
        <v>101.42060740960058</v>
      </c>
      <c r="H29" s="2">
        <f>$AD29*AG29</f>
        <v>29.801681318825981</v>
      </c>
      <c r="I29" s="2">
        <f>$AD29*AH29</f>
        <v>3.4531400891316131</v>
      </c>
      <c r="J29" s="2">
        <f>$E29*AI29</f>
        <v>21.799999999999937</v>
      </c>
      <c r="K29" s="2">
        <f>$E29*AJ29</f>
        <v>84.34832826747683</v>
      </c>
      <c r="L29" s="2">
        <f>$E29*AK29</f>
        <v>83.999999999999446</v>
      </c>
      <c r="M29" s="2">
        <f>$E29*(AB29/100)</f>
        <v>41.229027355854001</v>
      </c>
      <c r="N29" s="2">
        <f>$E29*AL29</f>
        <v>2.5886018237081672</v>
      </c>
      <c r="O29" s="2">
        <f>$E29*(AA29/100)</f>
        <v>129.87082069889999</v>
      </c>
      <c r="P29" s="2">
        <f>$E29*AM29</f>
        <v>4.8138842975206453</v>
      </c>
      <c r="Q29" s="2">
        <f>$E29*AN29</f>
        <v>3.9999999999999623</v>
      </c>
      <c r="R29" s="2">
        <f>$E29*AQ29</f>
        <v>1.0277685950412787</v>
      </c>
      <c r="S29" s="2">
        <f>$E29*AO29</f>
        <v>26.993617021276513</v>
      </c>
      <c r="T29" s="2">
        <f>$E29*AP29</f>
        <v>7.0696048632218149</v>
      </c>
      <c r="U29" s="2">
        <f>S29-T29</f>
        <v>19.924012158054698</v>
      </c>
      <c r="V29" s="1">
        <f>F29/D29</f>
        <v>0.27132907610963425</v>
      </c>
      <c r="W29" s="1">
        <f>(F29+M29+N29+P29)/(D29+M29+N29+Q29)</f>
        <v>0.32795054984691752</v>
      </c>
      <c r="X29" s="1">
        <f>(G29+H29*2+I29*3+J29*4)/D29</f>
        <v>0.44435532209484147</v>
      </c>
      <c r="Y29" s="1">
        <f>W29+X29</f>
        <v>0.77230587194175904</v>
      </c>
      <c r="Z29">
        <v>0.31339477519999998</v>
      </c>
      <c r="AA29">
        <v>20.516717329999999</v>
      </c>
      <c r="AB29">
        <v>6.5132744638000002</v>
      </c>
      <c r="AD29" s="2">
        <f>(D29-O29-J29+Q29)*Z29</f>
        <v>136.09434468930533</v>
      </c>
      <c r="AE29">
        <v>0.247769667</v>
      </c>
      <c r="AF29">
        <v>0.74522279115372003</v>
      </c>
      <c r="AG29">
        <v>0.218978102189781</v>
      </c>
      <c r="AH29">
        <v>2.53731343283581E-2</v>
      </c>
      <c r="AI29">
        <v>3.4439178515007801E-2</v>
      </c>
      <c r="AJ29">
        <v>0.133251703424134</v>
      </c>
      <c r="AK29">
        <v>0.13270142180094699</v>
      </c>
      <c r="AL29">
        <v>4.0894183628880998E-3</v>
      </c>
      <c r="AM29">
        <v>7.6048725079315097E-3</v>
      </c>
      <c r="AN29">
        <v>6.3191153238546004E-3</v>
      </c>
      <c r="AO29">
        <v>4.26439447413531E-2</v>
      </c>
      <c r="AP29">
        <v>1.11684121061956E-2</v>
      </c>
      <c r="AQ29">
        <v>1.6236470695754799E-3</v>
      </c>
    </row>
    <row r="30" spans="1:43" x14ac:dyDescent="0.4">
      <c r="A30" t="s">
        <v>39</v>
      </c>
      <c r="B30" t="s">
        <v>47</v>
      </c>
      <c r="C30" s="4">
        <f>K30*1.9+G30*2.6+H30*5.2+I30*7.8+J30*10.4+L30*1.9+S30*4.2+M30*2.6+P30*2.6</f>
        <v>1213.2078834185108</v>
      </c>
      <c r="D30" s="2">
        <f>E30-M30-P30-Q30-R30</f>
        <v>454.1703746480851</v>
      </c>
      <c r="E30">
        <v>525</v>
      </c>
      <c r="F30" s="2">
        <f>AD30+J30</f>
        <v>132.03449619978102</v>
      </c>
      <c r="G30" s="2">
        <f>$AD30*AF30</f>
        <v>82.681155557023956</v>
      </c>
      <c r="H30" s="2">
        <f>$AD30*AG30</f>
        <v>26.861194521764393</v>
      </c>
      <c r="I30" s="2">
        <f>$AD30*AH30</f>
        <v>2.0231900062083445</v>
      </c>
      <c r="J30" s="2">
        <f>$E30*AI30</f>
        <v>22.599999999999977</v>
      </c>
      <c r="K30" s="2">
        <f>$E30*AJ30</f>
        <v>94.731645569619985</v>
      </c>
      <c r="L30" s="2">
        <f>$E30*AK30</f>
        <v>63</v>
      </c>
      <c r="M30" s="2">
        <f>$E30*(AB30/100)</f>
        <v>59.365822792499998</v>
      </c>
      <c r="N30" s="2">
        <f>$E30*AL30</f>
        <v>2.3898734177215117</v>
      </c>
      <c r="O30" s="2">
        <f>$E30*(AA30/100)</f>
        <v>94.93670886000001</v>
      </c>
      <c r="P30" s="2">
        <f>$E30*AM30</f>
        <v>8.0638025594149276</v>
      </c>
      <c r="Q30" s="2">
        <f>$E30*AN30</f>
        <v>2.9999999999999929</v>
      </c>
      <c r="R30" s="2">
        <f>$E30*AQ30</f>
        <v>0.39999999999999897</v>
      </c>
      <c r="S30" s="2">
        <f>$E30*AO30</f>
        <v>31.602531645569588</v>
      </c>
      <c r="T30" s="2">
        <f>$E30*AP30</f>
        <v>9.8544303797468036</v>
      </c>
      <c r="U30" s="2">
        <f>S30-T30</f>
        <v>21.748101265822783</v>
      </c>
      <c r="V30" s="1">
        <f>F30/D30</f>
        <v>0.29071578326104652</v>
      </c>
      <c r="W30" s="1">
        <f>(F30+M30+N30+P30)/(D30+M30+N30+Q30)</f>
        <v>0.38898410834427694</v>
      </c>
      <c r="X30" s="1">
        <f>(G30+H30*2+I30*3+J30*4)/D30</f>
        <v>0.51274395605309986</v>
      </c>
      <c r="Y30" s="1">
        <f>W30+X30</f>
        <v>0.90172806439737685</v>
      </c>
      <c r="Z30">
        <v>0.32221333520000001</v>
      </c>
      <c r="AA30">
        <v>18.08318264</v>
      </c>
      <c r="AB30">
        <v>11.307775769999999</v>
      </c>
      <c r="AD30" s="2">
        <f>(D30-O30-J30+Q30)*Z30</f>
        <v>109.43449619978105</v>
      </c>
      <c r="AE30">
        <v>0.249292927</v>
      </c>
      <c r="AF30">
        <v>0.75553101104502896</v>
      </c>
      <c r="AG30">
        <v>0.24545454545454501</v>
      </c>
      <c r="AH30">
        <v>1.84876805437552E-2</v>
      </c>
      <c r="AI30">
        <v>4.3047619047619001E-2</v>
      </c>
      <c r="AJ30">
        <v>0.18044122965641901</v>
      </c>
      <c r="AK30">
        <v>0.12</v>
      </c>
      <c r="AL30">
        <v>4.55213984327907E-3</v>
      </c>
      <c r="AM30">
        <v>1.53596239226951E-2</v>
      </c>
      <c r="AN30">
        <v>5.7142857142857004E-3</v>
      </c>
      <c r="AO30">
        <v>6.01952983725135E-2</v>
      </c>
      <c r="AP30">
        <v>1.8770343580470101E-2</v>
      </c>
      <c r="AQ30">
        <v>7.6190476190475997E-4</v>
      </c>
    </row>
    <row r="31" spans="1:43" x14ac:dyDescent="0.4">
      <c r="A31" t="s">
        <v>206</v>
      </c>
      <c r="B31" s="3" t="s">
        <v>208</v>
      </c>
      <c r="C31" s="4">
        <f>K31*1.9+G31*2.6+H31*5.2+I31*7.8+J31*10.4+L31*1.9+S31*4.2+M31*2.6+P31*2.6</f>
        <v>1206.6637244760248</v>
      </c>
      <c r="D31" s="2">
        <f>E31-M31-P31-Q31-R31</f>
        <v>580.49029448729971</v>
      </c>
      <c r="E31">
        <v>629</v>
      </c>
      <c r="F31" s="2">
        <f>AD31+J31</f>
        <v>159.97284416882385</v>
      </c>
      <c r="G31" s="2">
        <f>$AD31*AF31</f>
        <v>99.832973653546887</v>
      </c>
      <c r="H31" s="2">
        <f>$AD31*AG31</f>
        <v>32.944881305670457</v>
      </c>
      <c r="I31" s="2">
        <f>$AD31*AH31</f>
        <v>4.6161574981893754</v>
      </c>
      <c r="J31" s="2">
        <f>$E31*AI31</f>
        <v>24.199999999999942</v>
      </c>
      <c r="K31" s="2">
        <f>$E31*AJ31</f>
        <v>80.471578947368229</v>
      </c>
      <c r="L31" s="2">
        <f>$E31*AK31</f>
        <v>86.999999999999432</v>
      </c>
      <c r="M31" s="2">
        <f>$E31*(AB31/100)</f>
        <v>36.988872179367</v>
      </c>
      <c r="N31" s="2">
        <f>$E31*AL31</f>
        <v>2.3891729323307875</v>
      </c>
      <c r="O31" s="2">
        <f>$E31*(AA31/100)</f>
        <v>104.04511276020001</v>
      </c>
      <c r="P31" s="2">
        <f>$E31*AM31</f>
        <v>2.8048333333333</v>
      </c>
      <c r="Q31" s="2">
        <f>$E31*AN31</f>
        <v>4.9999999999999876</v>
      </c>
      <c r="R31" s="2">
        <f>$E31*AQ31</f>
        <v>3.715999999999962</v>
      </c>
      <c r="S31" s="2">
        <f>$E31*AO31</f>
        <v>15.818796992481147</v>
      </c>
      <c r="T31" s="2">
        <f>$E31*AP31</f>
        <v>3.9783458646616299</v>
      </c>
      <c r="U31" s="2">
        <f>S31-T31</f>
        <v>11.840451127819517</v>
      </c>
      <c r="V31" s="1">
        <f>F31/D31</f>
        <v>0.27558228912356747</v>
      </c>
      <c r="W31" s="1">
        <f>(F31+M31+N31+P31)/(D31+M31+N31+Q31)</f>
        <v>0.32351730725161432</v>
      </c>
      <c r="X31" s="1">
        <f>(G31+H31*2+I31*3+J31*4)/D31</f>
        <v>0.4760996202418028</v>
      </c>
      <c r="Y31" s="1">
        <f>W31+X31</f>
        <v>0.79961692749341706</v>
      </c>
      <c r="Z31">
        <v>0.29693663180000002</v>
      </c>
      <c r="AA31">
        <v>16.54135338</v>
      </c>
      <c r="AB31">
        <v>5.8805838123000003</v>
      </c>
      <c r="AD31" s="2">
        <f>(D31-O31-J31+Q31)*Z31</f>
        <v>135.77284416882392</v>
      </c>
      <c r="AE31">
        <v>0.25580918400000002</v>
      </c>
      <c r="AF31">
        <v>0.73529411764705799</v>
      </c>
      <c r="AG31">
        <v>0.24264705882352899</v>
      </c>
      <c r="AH31">
        <v>3.3999122036874399E-2</v>
      </c>
      <c r="AI31">
        <v>3.84737678855325E-2</v>
      </c>
      <c r="AJ31">
        <v>0.12793573759518001</v>
      </c>
      <c r="AK31">
        <v>0.138314785373608</v>
      </c>
      <c r="AL31">
        <v>3.7983671420203299E-3</v>
      </c>
      <c r="AM31">
        <v>4.4591944886062003E-3</v>
      </c>
      <c r="AN31">
        <v>7.9491255961844001E-3</v>
      </c>
      <c r="AO31">
        <v>2.5149120814755399E-2</v>
      </c>
      <c r="AP31">
        <v>6.3248741886512399E-3</v>
      </c>
      <c r="AQ31">
        <v>5.9077901430842003E-3</v>
      </c>
    </row>
    <row r="32" spans="1:43" x14ac:dyDescent="0.4">
      <c r="A32" t="s">
        <v>248</v>
      </c>
      <c r="B32" s="3" t="s">
        <v>256</v>
      </c>
      <c r="C32" s="4">
        <f>K32*1.9+G32*2.6+H32*5.2+I32*7.8+J32*10.4+L32*1.9+S32*4.2+M32*2.6+P32*2.6</f>
        <v>1205.3425487225957</v>
      </c>
      <c r="D32" s="2">
        <f>E32-M32-P32-Q32-R32</f>
        <v>536.8912878693144</v>
      </c>
      <c r="E32">
        <v>602</v>
      </c>
      <c r="F32" s="2">
        <f>AD32+J32</f>
        <v>141.81297879972038</v>
      </c>
      <c r="G32" s="2">
        <f>$AD32*AF32</f>
        <v>84.315520157317181</v>
      </c>
      <c r="H32" s="2">
        <f>$AD32*AG32</f>
        <v>28.127684537863473</v>
      </c>
      <c r="I32" s="2">
        <f>$AD32*AH32</f>
        <v>3.9437229627542933</v>
      </c>
      <c r="J32" s="2">
        <f>$E32*AI32</f>
        <v>25.284000000000002</v>
      </c>
      <c r="K32" s="2">
        <f>$E32*AJ32</f>
        <v>83.1011235955053</v>
      </c>
      <c r="L32" s="2">
        <f>$E32*AK32</f>
        <v>78.862000000000009</v>
      </c>
      <c r="M32" s="2">
        <f>$E32*(AB32/100)</f>
        <v>55.201123597801995</v>
      </c>
      <c r="N32" s="2">
        <f>$E32*AL32</f>
        <v>1.9932584269662716</v>
      </c>
      <c r="O32" s="2">
        <f>$E32*(AA32/100)</f>
        <v>118.8539325834</v>
      </c>
      <c r="P32" s="2">
        <f>$E32*AM32</f>
        <v>5.9075885328836009</v>
      </c>
      <c r="Q32" s="2">
        <f>$E32*AN32</f>
        <v>3.9999999999999702</v>
      </c>
      <c r="R32" s="2">
        <f>$E32*AQ32</f>
        <v>0</v>
      </c>
      <c r="S32" s="2">
        <f>$E32*AO32</f>
        <v>18.935955056179743</v>
      </c>
      <c r="T32" s="2">
        <f>$E32*AP32</f>
        <v>4.0831460674157007</v>
      </c>
      <c r="U32" s="2">
        <f>S32-T32</f>
        <v>14.852808988764043</v>
      </c>
      <c r="V32" s="1">
        <f>F32/D32</f>
        <v>0.2641372322551811</v>
      </c>
      <c r="W32" s="1">
        <f>(F32+M32+N32+P32)/(D32+M32+N32+Q32)</f>
        <v>0.34261805569369597</v>
      </c>
      <c r="X32" s="1">
        <f>(G32+H32*2+I32*3+J32*4)/D32</f>
        <v>0.47223351141995273</v>
      </c>
      <c r="Y32" s="1">
        <f>W32+X32</f>
        <v>0.8148515671136487</v>
      </c>
      <c r="Z32">
        <v>0.29370634740000001</v>
      </c>
      <c r="AA32">
        <v>19.74317817</v>
      </c>
      <c r="AB32">
        <v>9.1696218600999995</v>
      </c>
      <c r="AD32" s="2">
        <f>(D32-O32-J32+Q32)*Z32</f>
        <v>116.52897879972038</v>
      </c>
      <c r="AE32">
        <v>0.232706515</v>
      </c>
      <c r="AF32">
        <v>0.72355838887279</v>
      </c>
      <c r="AG32">
        <v>0.24137931034482701</v>
      </c>
      <c r="AH32">
        <v>3.3843280902104297E-2</v>
      </c>
      <c r="AI32">
        <v>4.2000000000000003E-2</v>
      </c>
      <c r="AJ32">
        <v>0.138041733547351</v>
      </c>
      <c r="AK32">
        <v>0.13100000000000001</v>
      </c>
      <c r="AL32">
        <v>3.3110605099107501E-3</v>
      </c>
      <c r="AM32">
        <v>9.8132699881787397E-3</v>
      </c>
      <c r="AN32">
        <v>6.6445182724251999E-3</v>
      </c>
      <c r="AO32">
        <v>3.14550748441524E-2</v>
      </c>
      <c r="AP32">
        <v>6.7826346634812301E-3</v>
      </c>
      <c r="AQ32">
        <v>0</v>
      </c>
    </row>
    <row r="33" spans="1:43" x14ac:dyDescent="0.4">
      <c r="A33" t="s">
        <v>189</v>
      </c>
      <c r="B33" t="s">
        <v>198</v>
      </c>
      <c r="C33" s="4">
        <f>K33*1.9+G33*2.6+H33*5.2+I33*7.8+J33*10.4+L33*1.9+S33*4.2+M33*2.6+P33*2.6</f>
        <v>1198.3876385891303</v>
      </c>
      <c r="D33" s="2">
        <f>E33-M33-P33-Q33-R33</f>
        <v>586.09123226588338</v>
      </c>
      <c r="E33">
        <v>635</v>
      </c>
      <c r="F33" s="2">
        <f>AD33+J33</f>
        <v>161.7159981088341</v>
      </c>
      <c r="G33" s="2">
        <f>$AD33*AF33</f>
        <v>106.12845636846002</v>
      </c>
      <c r="H33" s="2">
        <f>$AD33*AG33</f>
        <v>32.346513853447739</v>
      </c>
      <c r="I33" s="2">
        <f>$AD33*AH33</f>
        <v>2.4264837397717973</v>
      </c>
      <c r="J33" s="2">
        <f>$E33*AI33</f>
        <v>20.19999999999991</v>
      </c>
      <c r="K33" s="2">
        <f>$E33*AJ33</f>
        <v>88.428571428570862</v>
      </c>
      <c r="L33" s="2">
        <f>$E33*AK33</f>
        <v>75.999999999999531</v>
      </c>
      <c r="M33" s="2">
        <f>$E33*(AB33/100)</f>
        <v>38.974255949604995</v>
      </c>
      <c r="N33" s="2">
        <f>$E33*AL33</f>
        <v>9.4494047619045202E-2</v>
      </c>
      <c r="O33" s="2">
        <f>$E33*(AA33/100)</f>
        <v>121.89732141949999</v>
      </c>
      <c r="P33" s="2">
        <f>$E33*AM33</f>
        <v>5.934511784511729</v>
      </c>
      <c r="Q33" s="2">
        <f>$E33*AN33</f>
        <v>3.5999999999999384</v>
      </c>
      <c r="R33" s="2">
        <f>$E33*AQ33</f>
        <v>0.39999999999997476</v>
      </c>
      <c r="S33" s="2">
        <f>$E33*AO33</f>
        <v>22.873363095238005</v>
      </c>
      <c r="T33" s="2">
        <f>$E33*AP33</f>
        <v>3.9779761904761322</v>
      </c>
      <c r="U33" s="2">
        <f>S33-T33</f>
        <v>18.895386904761875</v>
      </c>
      <c r="V33" s="1">
        <f>F33/D33</f>
        <v>0.27592290961873794</v>
      </c>
      <c r="W33" s="1">
        <f>(F33+M33+N33+P33)/(D33+M33+N33+Q33)</f>
        <v>0.32877292722498253</v>
      </c>
      <c r="X33" s="1">
        <f>(G33+H33*2+I33*3+J33*4)/D33</f>
        <v>0.44174169658490775</v>
      </c>
      <c r="Y33" s="1">
        <f>W33+X33</f>
        <v>0.77051462380989033</v>
      </c>
      <c r="Z33">
        <v>0.31617051680000002</v>
      </c>
      <c r="AA33">
        <v>19.196428569999998</v>
      </c>
      <c r="AB33">
        <v>6.1376781022999998</v>
      </c>
      <c r="AD33" s="2">
        <f>(D33-O33-J33+Q33)*Z33</f>
        <v>141.5159981088342</v>
      </c>
      <c r="AE33">
        <v>0.25395036599999998</v>
      </c>
      <c r="AF33">
        <v>0.74993963782696105</v>
      </c>
      <c r="AG33">
        <v>0.22857142857142801</v>
      </c>
      <c r="AH33">
        <v>1.7146356399265102E-2</v>
      </c>
      <c r="AI33">
        <v>3.1811023622047102E-2</v>
      </c>
      <c r="AJ33">
        <v>0.139257592800899</v>
      </c>
      <c r="AK33">
        <v>0.119685039370078</v>
      </c>
      <c r="AL33">
        <v>1.4880952380952E-4</v>
      </c>
      <c r="AM33">
        <v>9.3456878496247699E-3</v>
      </c>
      <c r="AN33">
        <v>5.6692913385825803E-3</v>
      </c>
      <c r="AO33">
        <v>3.6021044244469301E-2</v>
      </c>
      <c r="AP33">
        <v>6.2645294338206804E-3</v>
      </c>
      <c r="AQ33">
        <v>6.2992125984247997E-4</v>
      </c>
    </row>
    <row r="34" spans="1:43" x14ac:dyDescent="0.4">
      <c r="A34" t="s">
        <v>206</v>
      </c>
      <c r="B34" t="s">
        <v>212</v>
      </c>
      <c r="C34" s="4">
        <f>K34*1.9+G34*2.6+H34*5.2+I34*7.8+J34*10.4+L34*1.9+S34*4.2+M34*2.6+P34*2.6</f>
        <v>1192.8434357883546</v>
      </c>
      <c r="D34" s="2">
        <f>E34-M34-P34-Q34-R34</f>
        <v>573.16685202996177</v>
      </c>
      <c r="E34">
        <v>631</v>
      </c>
      <c r="F34" s="2">
        <f>AD34+J34</f>
        <v>149.58401975749302</v>
      </c>
      <c r="G34" s="2">
        <f>$AD34*AF34</f>
        <v>93.571962247734803</v>
      </c>
      <c r="H34" s="2">
        <f>$AD34*AG34</f>
        <v>25.462716050316338</v>
      </c>
      <c r="I34" s="2">
        <f>$AD34*AH34</f>
        <v>0.98356605566502797</v>
      </c>
      <c r="J34" s="2">
        <f>$E34*AI34</f>
        <v>29.39999999999991</v>
      </c>
      <c r="K34" s="2">
        <f>$E34*AJ34</f>
        <v>80.223157894736303</v>
      </c>
      <c r="L34" s="2">
        <f>$E34*AK34</f>
        <v>94.999999999999403</v>
      </c>
      <c r="M34" s="2">
        <f>$E34*(AB34/100)</f>
        <v>50.929022557497007</v>
      </c>
      <c r="N34" s="2">
        <f>$E34*AL34</f>
        <v>4.1693233082706724</v>
      </c>
      <c r="O34" s="2">
        <f>$E34*(AA34/100)</f>
        <v>122.40451127439999</v>
      </c>
      <c r="P34" s="2">
        <f>$E34*AM34</f>
        <v>1.9041254125412217</v>
      </c>
      <c r="Q34" s="2">
        <f>$E34*AN34</f>
        <v>4.9999999999999813</v>
      </c>
      <c r="R34" s="2">
        <f>$E34*AQ34</f>
        <v>0</v>
      </c>
      <c r="S34" s="2">
        <f>$E34*AO34</f>
        <v>7.9590977443608901</v>
      </c>
      <c r="T34" s="2">
        <f>$E34*AP34</f>
        <v>1.989774436090191</v>
      </c>
      <c r="U34" s="2">
        <f>S34-T34</f>
        <v>5.9693233082706989</v>
      </c>
      <c r="V34" s="1">
        <f>F34/D34</f>
        <v>0.26097814140457942</v>
      </c>
      <c r="W34" s="1">
        <f>(F34+M34+N34+P34)/(D34+M34+N34+Q34)</f>
        <v>0.32622429232218364</v>
      </c>
      <c r="X34" s="1">
        <f>(G34+H34*2+I34*3+J34*4)/D34</f>
        <v>0.46242746170099008</v>
      </c>
      <c r="Y34" s="1">
        <f>W34+X34</f>
        <v>0.78865175402317367</v>
      </c>
      <c r="Z34">
        <v>0.28188235280000001</v>
      </c>
      <c r="AA34">
        <v>19.39849624</v>
      </c>
      <c r="AB34">
        <v>8.0711604687000005</v>
      </c>
      <c r="AD34" s="2">
        <f>(D34-O34-J34+Q34)*Z34</f>
        <v>120.18401975749312</v>
      </c>
      <c r="AE34">
        <v>0.24059523799999999</v>
      </c>
      <c r="AF34">
        <v>0.77857241284277201</v>
      </c>
      <c r="AG34">
        <v>0.21186440677966101</v>
      </c>
      <c r="AH34">
        <v>8.1838339044547192E-3</v>
      </c>
      <c r="AI34">
        <v>4.6592709984151999E-2</v>
      </c>
      <c r="AJ34">
        <v>0.12713654183001</v>
      </c>
      <c r="AK34">
        <v>0.15055467511885801</v>
      </c>
      <c r="AL34">
        <v>6.60748543307555E-3</v>
      </c>
      <c r="AM34">
        <v>3.01763139863902E-3</v>
      </c>
      <c r="AN34">
        <v>7.9239302694136E-3</v>
      </c>
      <c r="AO34">
        <v>1.26134671067526E-2</v>
      </c>
      <c r="AP34">
        <v>3.1533667766881E-3</v>
      </c>
      <c r="AQ34">
        <v>0</v>
      </c>
    </row>
    <row r="35" spans="1:43" x14ac:dyDescent="0.4">
      <c r="A35" t="s">
        <v>39</v>
      </c>
      <c r="B35" t="s">
        <v>43</v>
      </c>
      <c r="C35" s="4">
        <f>K35*1.9+G35*2.6+H35*5.2+I35*7.8+J35*10.4+L35*1.9+S35*4.2+M35*2.6+P35*2.6</f>
        <v>1192.1143189799145</v>
      </c>
      <c r="D35" s="2">
        <f>E35-M35-P35-Q35-R35</f>
        <v>555.26608485522956</v>
      </c>
      <c r="E35">
        <v>625</v>
      </c>
      <c r="F35" s="2">
        <f>AD35+J35</f>
        <v>141.65173970268287</v>
      </c>
      <c r="G35" s="2">
        <f>$AD35*AF35</f>
        <v>83.718508898537905</v>
      </c>
      <c r="H35" s="2">
        <f>$AD35*AG35</f>
        <v>27.612934925670721</v>
      </c>
      <c r="I35" s="2">
        <f>$AD35*AH35</f>
        <v>0.39802428721687488</v>
      </c>
      <c r="J35" s="2">
        <f>$E35*AI35</f>
        <v>31.2</v>
      </c>
      <c r="K35" s="2">
        <f>$E35*AJ35</f>
        <v>80.7323308270675</v>
      </c>
      <c r="L35" s="2">
        <f>$E35*AK35</f>
        <v>92</v>
      </c>
      <c r="M35" s="2">
        <f>$E35*(AB35/100)</f>
        <v>61.815037593749999</v>
      </c>
      <c r="N35" s="2">
        <f>$E35*AL35</f>
        <v>1.3939849624060126</v>
      </c>
      <c r="O35" s="2">
        <f>$E35*(AA35/100)</f>
        <v>155.075188</v>
      </c>
      <c r="P35" s="2">
        <f>$E35*AM35</f>
        <v>3.9188775510204064</v>
      </c>
      <c r="Q35" s="2">
        <f>$E35*AN35</f>
        <v>4</v>
      </c>
      <c r="R35" s="2">
        <f>$E35*AQ35</f>
        <v>0</v>
      </c>
      <c r="S35" s="2">
        <f>$E35*AO35</f>
        <v>0.99398496240601253</v>
      </c>
      <c r="T35" s="2">
        <f>$E35*AP35</f>
        <v>0</v>
      </c>
      <c r="U35" s="2">
        <f>S35-T35</f>
        <v>0.99398496240601253</v>
      </c>
      <c r="V35" s="1">
        <f>F35/D35</f>
        <v>0.25510605377530793</v>
      </c>
      <c r="W35" s="1">
        <f>(F35+M35+N35+P35)/(D35+M35+N35+Q35)</f>
        <v>0.33540239171665315</v>
      </c>
      <c r="X35" s="1">
        <f>(G35+H35*2+I35*3+J35*4)/D35</f>
        <v>0.47713782425700535</v>
      </c>
      <c r="Y35" s="1">
        <f>W35+X35</f>
        <v>0.81254021597365855</v>
      </c>
      <c r="Z35">
        <v>0.29612449159999998</v>
      </c>
      <c r="AA35">
        <v>24.81203008</v>
      </c>
      <c r="AB35">
        <v>9.8904060149999999</v>
      </c>
      <c r="AD35" s="2">
        <f>(D35-O35-J35+Q35)*Z35</f>
        <v>110.45173970268289</v>
      </c>
      <c r="AE35">
        <v>0.232773279</v>
      </c>
      <c r="AF35">
        <v>0.75796460176991098</v>
      </c>
      <c r="AG35">
        <v>0.25</v>
      </c>
      <c r="AH35">
        <v>3.6036036036036002E-3</v>
      </c>
      <c r="AI35">
        <v>4.9919999999999999E-2</v>
      </c>
      <c r="AJ35">
        <v>0.129171729323308</v>
      </c>
      <c r="AK35">
        <v>0.1472</v>
      </c>
      <c r="AL35">
        <v>2.2303759398496202E-3</v>
      </c>
      <c r="AM35">
        <v>6.27020408163265E-3</v>
      </c>
      <c r="AN35">
        <v>6.4000000000000003E-3</v>
      </c>
      <c r="AO35">
        <v>1.59037593984962E-3</v>
      </c>
      <c r="AP35">
        <v>0</v>
      </c>
      <c r="AQ35">
        <v>0</v>
      </c>
    </row>
    <row r="36" spans="1:43" x14ac:dyDescent="0.4">
      <c r="A36" t="s">
        <v>257</v>
      </c>
      <c r="B36" t="s">
        <v>260</v>
      </c>
      <c r="C36" s="4">
        <f>K36*1.9+G36*2.6+H36*5.2+I36*7.8+J36*10.4+L36*1.9+S36*4.2+M36*2.6+P36*2.6</f>
        <v>1185.0773495013946</v>
      </c>
      <c r="D36" s="2">
        <f>E36-M36-P36-Q36-R36</f>
        <v>565.31899337782295</v>
      </c>
      <c r="E36">
        <v>634</v>
      </c>
      <c r="F36" s="2">
        <f>AD36+J36</f>
        <v>135.19346726945813</v>
      </c>
      <c r="G36" s="2">
        <f>$AD36*AF36</f>
        <v>73.732090550121512</v>
      </c>
      <c r="H36" s="2">
        <f>$AD36*AG36</f>
        <v>26.57030149005913</v>
      </c>
      <c r="I36" s="2">
        <f>$AD36*AH36</f>
        <v>0.98835354827444133</v>
      </c>
      <c r="J36" s="2">
        <f>$E36*AI36</f>
        <v>32.99999999999995</v>
      </c>
      <c r="K36" s="2">
        <f>$E36*AJ36</f>
        <v>79.882142857142696</v>
      </c>
      <c r="L36" s="2">
        <f>$E36*AK36</f>
        <v>93.999999999999787</v>
      </c>
      <c r="M36" s="2">
        <f>$E36*(AB36/100)</f>
        <v>55.777678571464001</v>
      </c>
      <c r="N36" s="2">
        <f>$E36*AL36</f>
        <v>1.9886904761904638</v>
      </c>
      <c r="O36" s="2">
        <f>$E36*(AA36/100)</f>
        <v>131.1398809554</v>
      </c>
      <c r="P36" s="2">
        <f>$E36*AM36</f>
        <v>7.9033280507130792</v>
      </c>
      <c r="Q36" s="2">
        <f>$E36*AN36</f>
        <v>4.9999999999999467</v>
      </c>
      <c r="R36" s="2">
        <f>$E36*AQ36</f>
        <v>0</v>
      </c>
      <c r="S36" s="2">
        <f>$E36*AO36</f>
        <v>1.9886904761904638</v>
      </c>
      <c r="T36" s="2">
        <f>$E36*AP36</f>
        <v>0.99434523809520325</v>
      </c>
      <c r="U36" s="2">
        <f>S36-T36</f>
        <v>0.99434523809526054</v>
      </c>
      <c r="V36" s="1">
        <f>F36/D36</f>
        <v>0.23914545389969497</v>
      </c>
      <c r="W36" s="1">
        <f>(F36+M36+N36+P36)/(D36+M36+N36+Q36)</f>
        <v>0.31980233322450369</v>
      </c>
      <c r="X36" s="1">
        <f>(G36+H36*2+I36*3+J36*4)/D36</f>
        <v>0.46316815327672406</v>
      </c>
      <c r="Y36" s="1">
        <f>W36+X36</f>
        <v>0.78297048650122769</v>
      </c>
      <c r="Z36">
        <v>0.25159705199999999</v>
      </c>
      <c r="AA36">
        <v>20.684523810000002</v>
      </c>
      <c r="AB36">
        <v>8.7977410995999996</v>
      </c>
      <c r="AD36" s="2">
        <f>(D36-O36-J36+Q36)*Z36</f>
        <v>102.19346726945818</v>
      </c>
      <c r="AE36">
        <v>0.214289482</v>
      </c>
      <c r="AF36">
        <v>0.72149514563106798</v>
      </c>
      <c r="AG36">
        <v>0.26</v>
      </c>
      <c r="AH36">
        <v>9.6713965646003999E-3</v>
      </c>
      <c r="AI36">
        <v>5.20504731861198E-2</v>
      </c>
      <c r="AJ36">
        <v>0.12599707075259101</v>
      </c>
      <c r="AK36">
        <v>0.148264984227129</v>
      </c>
      <c r="AL36">
        <v>3.1367357668619302E-3</v>
      </c>
      <c r="AM36">
        <v>1.2465817114689399E-2</v>
      </c>
      <c r="AN36">
        <v>7.8864353312302002E-3</v>
      </c>
      <c r="AO36">
        <v>3.1367357668619302E-3</v>
      </c>
      <c r="AP36">
        <v>1.56836788343092E-3</v>
      </c>
      <c r="AQ36">
        <v>0</v>
      </c>
    </row>
    <row r="37" spans="1:43" x14ac:dyDescent="0.4">
      <c r="A37" t="s">
        <v>138</v>
      </c>
      <c r="B37" t="s">
        <v>146</v>
      </c>
      <c r="C37" s="4">
        <f>K37*1.9+G37*2.6+H37*5.2+I37*7.8+J37*10.4+L37*1.9+S37*4.2+M37*2.6+P37*2.6</f>
        <v>1178.436312292341</v>
      </c>
      <c r="D37" s="2">
        <f>E37-M37-P37-Q37-R37</f>
        <v>564.601687451663</v>
      </c>
      <c r="E37">
        <v>621</v>
      </c>
      <c r="F37" s="2">
        <f>AD37+J37</f>
        <v>146.77163874300049</v>
      </c>
      <c r="G37" s="2">
        <f>$AD37*AF37</f>
        <v>89.076191563188061</v>
      </c>
      <c r="H37" s="2">
        <f>$AD37*AG37</f>
        <v>27.176561407296628</v>
      </c>
      <c r="I37" s="2">
        <f>$AD37*AH37</f>
        <v>1.3973133969764719</v>
      </c>
      <c r="J37" s="2">
        <f>$E37*AI37</f>
        <v>27.999999999999961</v>
      </c>
      <c r="K37" s="2">
        <f>$E37*AJ37</f>
        <v>81.905069124423392</v>
      </c>
      <c r="L37" s="2">
        <f>$E37*AK37</f>
        <v>90.999999999999943</v>
      </c>
      <c r="M37" s="2">
        <f>$E37*(AB37/100)</f>
        <v>45.788018430689995</v>
      </c>
      <c r="N37" s="2">
        <f>$E37*AL37</f>
        <v>1.9907834101381974</v>
      </c>
      <c r="O37" s="2">
        <f>$E37*(AA37/100)</f>
        <v>176.47465437540001</v>
      </c>
      <c r="P37" s="2">
        <f>$E37*AM37</f>
        <v>7.0102941176470051</v>
      </c>
      <c r="Q37" s="2">
        <f>$E37*AN37</f>
        <v>3.5999999999999615</v>
      </c>
      <c r="R37" s="2">
        <f>$E37*AQ37</f>
        <v>0</v>
      </c>
      <c r="S37" s="2">
        <f>$E37*AO37</f>
        <v>8.9585253456220961</v>
      </c>
      <c r="T37" s="2">
        <f>$E37*AP37</f>
        <v>2.9861751152073488</v>
      </c>
      <c r="U37" s="2">
        <f>S37-T37</f>
        <v>5.9723502304147473</v>
      </c>
      <c r="V37" s="1">
        <f>F37/D37</f>
        <v>0.25995607523855657</v>
      </c>
      <c r="W37" s="1">
        <f>(F37+M37+N37+P37)/(D37+M37+N37+Q37)</f>
        <v>0.3272193489975409</v>
      </c>
      <c r="X37" s="1">
        <f>(G37+H37*2+I37*3+J37*4)/D37</f>
        <v>0.45983081584561758</v>
      </c>
      <c r="Y37" s="1">
        <f>W37+X37</f>
        <v>0.78705016484315848</v>
      </c>
      <c r="Z37">
        <v>0.32654058660000002</v>
      </c>
      <c r="AA37">
        <v>28.417818740000001</v>
      </c>
      <c r="AB37">
        <v>7.3732718889999997</v>
      </c>
      <c r="AD37" s="2">
        <f>(D37-O37-J37+Q37)*Z37</f>
        <v>118.77163874300054</v>
      </c>
      <c r="AE37">
        <v>0.23502869400000001</v>
      </c>
      <c r="AF37">
        <v>0.74997863552200505</v>
      </c>
      <c r="AG37">
        <v>0.22881355932203301</v>
      </c>
      <c r="AH37">
        <v>1.1764705882352899E-2</v>
      </c>
      <c r="AI37">
        <v>4.5088566827697199E-2</v>
      </c>
      <c r="AJ37">
        <v>0.131892220812276</v>
      </c>
      <c r="AK37">
        <v>0.146537842190016</v>
      </c>
      <c r="AL37">
        <v>3.2057703866959701E-3</v>
      </c>
      <c r="AM37">
        <v>1.1288718385905E-2</v>
      </c>
      <c r="AN37">
        <v>5.7971014492752999E-3</v>
      </c>
      <c r="AO37">
        <v>1.44259667401322E-2</v>
      </c>
      <c r="AP37">
        <v>4.8086555800440399E-3</v>
      </c>
      <c r="AQ37">
        <v>0</v>
      </c>
    </row>
    <row r="38" spans="1:43" x14ac:dyDescent="0.4">
      <c r="A38" t="s">
        <v>223</v>
      </c>
      <c r="B38" t="s">
        <v>228</v>
      </c>
      <c r="C38" s="4">
        <f>K38*1.9+G38*2.6+H38*5.2+I38*7.8+J38*10.4+L38*1.9+S38*4.2+M38*2.6+P38*2.6</f>
        <v>1174.1674175809353</v>
      </c>
      <c r="D38" s="2">
        <f>E38-M38-P38-Q38-R38</f>
        <v>571.40003737643224</v>
      </c>
      <c r="E38">
        <v>642</v>
      </c>
      <c r="F38" s="2">
        <f>AD38+J38</f>
        <v>139.94686254897618</v>
      </c>
      <c r="G38" s="2">
        <f>$AD38*AF38</f>
        <v>83.131213093455941</v>
      </c>
      <c r="H38" s="2">
        <f>$AD38*AG38</f>
        <v>29.763026910002726</v>
      </c>
      <c r="I38" s="2">
        <f>$AD38*AH38</f>
        <v>1.0263112727587131</v>
      </c>
      <c r="J38" s="2">
        <f>$E38*AI38</f>
        <v>24.999999999999968</v>
      </c>
      <c r="K38" s="2">
        <f>$E38*AJ38</f>
        <v>79.576785714285421</v>
      </c>
      <c r="L38" s="2">
        <f>$E38*AK38</f>
        <v>82.999999999999872</v>
      </c>
      <c r="M38" s="2">
        <f>$E38*(AB38/100)</f>
        <v>63.100892856126002</v>
      </c>
      <c r="N38" s="2">
        <f>$E38*AL38</f>
        <v>1.9910714285713726</v>
      </c>
      <c r="O38" s="2">
        <f>$E38*(AA38/100)</f>
        <v>150.9464285592</v>
      </c>
      <c r="P38" s="2">
        <f>$E38*AM38</f>
        <v>2.8990697674418096</v>
      </c>
      <c r="Q38" s="2">
        <f>$E38*AN38</f>
        <v>4.5999999999999535</v>
      </c>
      <c r="R38" s="2">
        <f>$E38*AQ38</f>
        <v>0</v>
      </c>
      <c r="S38" s="2">
        <f>$E38*AO38</f>
        <v>13.037499999999939</v>
      </c>
      <c r="T38" s="2">
        <f>$E38*AP38</f>
        <v>3.0821428571428062</v>
      </c>
      <c r="U38" s="2">
        <f>S38-T38</f>
        <v>9.9553571428571335</v>
      </c>
      <c r="V38" s="1">
        <f>F38/D38</f>
        <v>0.2449192394028156</v>
      </c>
      <c r="W38" s="1">
        <f>(F38+M38+N38+P38)/(D38+M38+N38+Q38)</f>
        <v>0.32434954119272857</v>
      </c>
      <c r="X38" s="1">
        <f>(G38+H38*2+I38*3+J38*4)/D38</f>
        <v>0.4300598261421692</v>
      </c>
      <c r="Y38" s="1">
        <f>W38+X38</f>
        <v>0.75440936733489772</v>
      </c>
      <c r="Z38">
        <v>0.28732864800000002</v>
      </c>
      <c r="AA38">
        <v>23.51190476</v>
      </c>
      <c r="AB38">
        <v>9.8287995102999997</v>
      </c>
      <c r="AD38" s="2">
        <f>(D38-O38-J38+Q38)*Z38</f>
        <v>114.94686254897623</v>
      </c>
      <c r="AE38">
        <v>0.212739389</v>
      </c>
      <c r="AF38">
        <v>0.72321428571428503</v>
      </c>
      <c r="AG38">
        <v>0.25892857142857101</v>
      </c>
      <c r="AH38">
        <v>8.9285714285714003E-3</v>
      </c>
      <c r="AI38">
        <v>3.8940809968847301E-2</v>
      </c>
      <c r="AJ38">
        <v>0.123951379617267</v>
      </c>
      <c r="AK38">
        <v>0.129283489096573</v>
      </c>
      <c r="AL38">
        <v>3.1013573653759698E-3</v>
      </c>
      <c r="AM38">
        <v>4.5156849960152796E-3</v>
      </c>
      <c r="AN38">
        <v>7.1651090342678397E-3</v>
      </c>
      <c r="AO38">
        <v>2.03076323987538E-2</v>
      </c>
      <c r="AP38">
        <v>4.8008455718735301E-3</v>
      </c>
      <c r="AQ38">
        <v>0</v>
      </c>
    </row>
    <row r="39" spans="1:43" x14ac:dyDescent="0.4">
      <c r="A39" t="s">
        <v>223</v>
      </c>
      <c r="B39" t="s">
        <v>226</v>
      </c>
      <c r="C39" s="4">
        <f>K39*1.9+G39*2.6+H39*5.2+I39*7.8+J39*10.4+L39*1.9+S39*4.2+M39*2.6+P39*2.6</f>
        <v>1171.9866161775076</v>
      </c>
      <c r="D39" s="2">
        <f>E39-M39-P39-Q39-R39</f>
        <v>549.14345214070272</v>
      </c>
      <c r="E39">
        <v>624</v>
      </c>
      <c r="F39" s="2">
        <f>AD39+J39</f>
        <v>132.18943129601683</v>
      </c>
      <c r="G39" s="2">
        <f>$AD39*AF39</f>
        <v>72.650946035230291</v>
      </c>
      <c r="H39" s="2">
        <f>$AD39*AG39</f>
        <v>30.170028258466367</v>
      </c>
      <c r="I39" s="2">
        <f>$AD39*AH39</f>
        <v>2.3569968823189669</v>
      </c>
      <c r="J39" s="2">
        <f>$E39*AI39</f>
        <v>27.59999999999992</v>
      </c>
      <c r="K39" s="2">
        <f>$E39*AJ39</f>
        <v>81.020324005890672</v>
      </c>
      <c r="L39" s="2">
        <f>$E39*AK39</f>
        <v>76.999999999999446</v>
      </c>
      <c r="M39" s="2">
        <f>$E39*(AB39/100)</f>
        <v>63.224889567839995</v>
      </c>
      <c r="N39" s="2">
        <f>$E39*AL39</f>
        <v>1.0837997054491839</v>
      </c>
      <c r="O39" s="2">
        <f>$E39*(AA39/100)</f>
        <v>161.74374078720001</v>
      </c>
      <c r="P39" s="2">
        <f>$E39*AM39</f>
        <v>7.0316582914572381</v>
      </c>
      <c r="Q39" s="2">
        <f>$E39*AN39</f>
        <v>4.5999999999999925</v>
      </c>
      <c r="R39" s="2">
        <f>$E39*AQ39</f>
        <v>0</v>
      </c>
      <c r="S39" s="2">
        <f>$E39*AO39</f>
        <v>9.0189985272459072</v>
      </c>
      <c r="T39" s="2">
        <f>$E39*AP39</f>
        <v>2.0756995581737816</v>
      </c>
      <c r="U39" s="2">
        <f>S39-T39</f>
        <v>6.9432989690721261</v>
      </c>
      <c r="V39" s="1">
        <f>F39/D39</f>
        <v>0.24071930709673103</v>
      </c>
      <c r="W39" s="1">
        <f>(F39+M39+N39+P39)/(D39+M39+N39+Q39)</f>
        <v>0.32930842759499834</v>
      </c>
      <c r="X39" s="1">
        <f>(G39+H39*2+I39*3+J39*4)/D39</f>
        <v>0.45609574733660974</v>
      </c>
      <c r="Y39" s="1">
        <f>W39+X39</f>
        <v>0.78540417493160808</v>
      </c>
      <c r="Z39">
        <v>0.28701842519999998</v>
      </c>
      <c r="AA39">
        <v>25.920471280000001</v>
      </c>
      <c r="AB39">
        <v>10.132193840999999</v>
      </c>
      <c r="AD39" s="2">
        <f>(D39-O39-J39+Q39)*Z39</f>
        <v>104.58943129601691</v>
      </c>
      <c r="AE39">
        <v>0.21256765799999999</v>
      </c>
      <c r="AF39">
        <v>0.69462989840348299</v>
      </c>
      <c r="AG39">
        <v>0.28846153846153799</v>
      </c>
      <c r="AH39">
        <v>2.2535707988009E-2</v>
      </c>
      <c r="AI39">
        <v>4.4230769230769101E-2</v>
      </c>
      <c r="AJ39">
        <v>0.12984026282995301</v>
      </c>
      <c r="AK39">
        <v>0.123397435897435</v>
      </c>
      <c r="AL39">
        <v>1.73685850232241E-3</v>
      </c>
      <c r="AM39">
        <v>1.1268683159386599E-2</v>
      </c>
      <c r="AN39">
        <v>7.3717948717948604E-3</v>
      </c>
      <c r="AO39">
        <v>1.44535232808428E-2</v>
      </c>
      <c r="AP39">
        <v>3.3264415996374702E-3</v>
      </c>
      <c r="AQ39">
        <v>0</v>
      </c>
    </row>
    <row r="40" spans="1:43" x14ac:dyDescent="0.4">
      <c r="A40" t="s">
        <v>199</v>
      </c>
      <c r="B40" t="s">
        <v>200</v>
      </c>
      <c r="C40" s="4">
        <f>K40*1.9+G40*2.6+H40*5.2+I40*7.8+J40*10.4+L40*1.9+S40*4.2+M40*2.6+P40*2.6</f>
        <v>1171.4011988234158</v>
      </c>
      <c r="D40" s="2">
        <f>E40-M40-P40-Q40-R40</f>
        <v>570.72049689310791</v>
      </c>
      <c r="E40">
        <v>642</v>
      </c>
      <c r="F40" s="2">
        <f>AD40+J40</f>
        <v>151.93292395629589</v>
      </c>
      <c r="G40" s="2">
        <f>$AD40*AF40</f>
        <v>98.857960114339392</v>
      </c>
      <c r="H40" s="2">
        <f>$AD40*AG40</f>
        <v>29.802937262794501</v>
      </c>
      <c r="I40" s="2">
        <f>$AD40*AH40</f>
        <v>4.0413058048664761</v>
      </c>
      <c r="J40" s="2">
        <f>$E40*AI40</f>
        <v>20.79999999999994</v>
      </c>
      <c r="K40" s="2">
        <f>$E40*AJ40</f>
        <v>79.05093167701817</v>
      </c>
      <c r="L40" s="2">
        <f>$E40*AK40</f>
        <v>78.999999999999588</v>
      </c>
      <c r="M40" s="2">
        <f>$E40*(AB40/100)</f>
        <v>57.882298137947998</v>
      </c>
      <c r="N40" s="2">
        <f>$E40*AL40</f>
        <v>2.9990683229813189</v>
      </c>
      <c r="O40" s="2">
        <f>$E40*(AA40/100)</f>
        <v>140.56211181479998</v>
      </c>
      <c r="P40" s="2">
        <f>$E40*AM40</f>
        <v>8.9972049689440663</v>
      </c>
      <c r="Q40" s="2">
        <f>$E40*AN40</f>
        <v>3.9999999999999507</v>
      </c>
      <c r="R40" s="2">
        <f>$E40*AQ40</f>
        <v>0.39999999999997587</v>
      </c>
      <c r="S40" s="2">
        <f>$E40*AO40</f>
        <v>8.8975155279502705</v>
      </c>
      <c r="T40" s="2">
        <f>$E40*AP40</f>
        <v>1.9993788819875267</v>
      </c>
      <c r="U40" s="2">
        <f>S40-T40</f>
        <v>6.8981366459627438</v>
      </c>
      <c r="V40" s="1">
        <f>F40/D40</f>
        <v>0.26621248892126598</v>
      </c>
      <c r="W40" s="1">
        <f>(F40+M40+N40+P40)/(D40+M40+N40+Q40)</f>
        <v>0.34897867387562687</v>
      </c>
      <c r="X40" s="1">
        <f>(G40+H40*2+I40*3+J40*4)/D40</f>
        <v>0.44467958210034342</v>
      </c>
      <c r="Y40" s="1">
        <f>W40+X40</f>
        <v>0.79365825597597028</v>
      </c>
      <c r="Z40">
        <v>0.31723784659999998</v>
      </c>
      <c r="AA40">
        <v>21.894409939999999</v>
      </c>
      <c r="AB40">
        <v>9.0159342894000005</v>
      </c>
      <c r="AD40" s="2">
        <f>(D40-O40-J40+Q40)*Z40</f>
        <v>131.13292395629597</v>
      </c>
      <c r="AE40">
        <v>0.235020321</v>
      </c>
      <c r="AF40">
        <v>0.75387596899224796</v>
      </c>
      <c r="AG40">
        <v>0.22727272727272699</v>
      </c>
      <c r="AH40">
        <v>3.08183916208058E-2</v>
      </c>
      <c r="AI40">
        <v>3.2398753894080902E-2</v>
      </c>
      <c r="AJ40">
        <v>0.12313229233180401</v>
      </c>
      <c r="AK40">
        <v>0.12305295950155699</v>
      </c>
      <c r="AL40">
        <v>4.6714459859522103E-3</v>
      </c>
      <c r="AM40">
        <v>1.4014337957856801E-2</v>
      </c>
      <c r="AN40">
        <v>6.2305295950154998E-3</v>
      </c>
      <c r="AO40">
        <v>1.3859058454751201E-2</v>
      </c>
      <c r="AP40">
        <v>3.11429732396811E-3</v>
      </c>
      <c r="AQ40">
        <v>6.2305295950152004E-4</v>
      </c>
    </row>
    <row r="41" spans="1:43" x14ac:dyDescent="0.4">
      <c r="A41" t="s">
        <v>72</v>
      </c>
      <c r="B41" t="s">
        <v>74</v>
      </c>
      <c r="C41" s="4">
        <f>K41*1.9+G41*2.6+H41*5.2+I41*7.8+J41*10.4+L41*1.9+S41*4.2+M41*2.6+P41*2.6</f>
        <v>1171.214490041232</v>
      </c>
      <c r="D41" s="2">
        <f>E41-M41-P41-Q41-R41</f>
        <v>560.98159597759332</v>
      </c>
      <c r="E41">
        <v>647</v>
      </c>
      <c r="F41" s="2">
        <f>AD41+J41</f>
        <v>134.99766174480999</v>
      </c>
      <c r="G41" s="2">
        <f>$AD41*AF41</f>
        <v>81.686457221482556</v>
      </c>
      <c r="H41" s="2">
        <f>$AD41*AG41</f>
        <v>29.102054784066201</v>
      </c>
      <c r="I41" s="2">
        <f>$AD41*AH41</f>
        <v>2.0142062547592561</v>
      </c>
      <c r="J41" s="2">
        <f>$E41*AI41</f>
        <v>21.599999999999898</v>
      </c>
      <c r="K41" s="2">
        <f>$E41*AJ41</f>
        <v>82.835714285713621</v>
      </c>
      <c r="L41" s="2">
        <f>$E41*AK41</f>
        <v>76.999999999999574</v>
      </c>
      <c r="M41" s="2">
        <f>$E41*(AB41/100)</f>
        <v>76.006101183289999</v>
      </c>
      <c r="N41" s="2">
        <f>$E41*AL41</f>
        <v>1.9925595238094878</v>
      </c>
      <c r="O41" s="2">
        <f>$E41*(AA41/100)</f>
        <v>155.97321430419998</v>
      </c>
      <c r="P41" s="2">
        <f>$E41*AM41</f>
        <v>6.0123028391166811</v>
      </c>
      <c r="Q41" s="2">
        <f>$E41*AN41</f>
        <v>3.9999999999999947</v>
      </c>
      <c r="R41" s="2">
        <f>$E41*AQ41</f>
        <v>0</v>
      </c>
      <c r="S41" s="2">
        <f>$E41*AO41</f>
        <v>11.955357142857068</v>
      </c>
      <c r="T41" s="2">
        <f>$E41*AP41</f>
        <v>2.9888392857142376</v>
      </c>
      <c r="U41" s="2">
        <f>S41-T41</f>
        <v>8.9665178571428292</v>
      </c>
      <c r="V41" s="1">
        <f>F41/D41</f>
        <v>0.24064543776976607</v>
      </c>
      <c r="W41" s="1">
        <f>(F41+M41+N41+P41)/(D41+M41+N41+Q41)</f>
        <v>0.34061485249993373</v>
      </c>
      <c r="X41" s="1">
        <f>(G41+H41*2+I41*3+J41*4)/D41</f>
        <v>0.41415473737425806</v>
      </c>
      <c r="Y41" s="1">
        <f>W41+X41</f>
        <v>0.75476958987419174</v>
      </c>
      <c r="Z41">
        <v>0.29270833340000002</v>
      </c>
      <c r="AA41">
        <v>24.10714286</v>
      </c>
      <c r="AB41">
        <v>11.747465407</v>
      </c>
      <c r="AD41" s="2">
        <f>(D41-O41-J41+Q41)*Z41</f>
        <v>113.39766174481009</v>
      </c>
      <c r="AE41">
        <v>0.209556878</v>
      </c>
      <c r="AF41">
        <v>0.72035398230088399</v>
      </c>
      <c r="AG41">
        <v>0.25663716814159199</v>
      </c>
      <c r="AH41">
        <v>1.77623261694057E-2</v>
      </c>
      <c r="AI41">
        <v>3.3384853168469703E-2</v>
      </c>
      <c r="AJ41">
        <v>0.12803047030249401</v>
      </c>
      <c r="AK41">
        <v>0.11901081916537801</v>
      </c>
      <c r="AL41">
        <v>3.0796901449914801E-3</v>
      </c>
      <c r="AM41">
        <v>9.2925855318650406E-3</v>
      </c>
      <c r="AN41">
        <v>6.1823802163832996E-3</v>
      </c>
      <c r="AO41">
        <v>1.8478140869949099E-2</v>
      </c>
      <c r="AP41">
        <v>4.6195352174872297E-3</v>
      </c>
      <c r="AQ41">
        <v>0</v>
      </c>
    </row>
    <row r="42" spans="1:43" x14ac:dyDescent="0.4">
      <c r="A42" t="s">
        <v>154</v>
      </c>
      <c r="B42" t="s">
        <v>161</v>
      </c>
      <c r="C42" s="4">
        <f>K42*1.9+G42*2.6+H42*5.2+I42*7.8+J42*10.4+L42*1.9+S42*4.2+M42*2.6+P42*2.6</f>
        <v>1163.7676668982604</v>
      </c>
      <c r="D42" s="2">
        <f>E42-M42-P42-Q42-R42</f>
        <v>548.7371334041577</v>
      </c>
      <c r="E42">
        <v>620</v>
      </c>
      <c r="F42" s="2">
        <f>AD42+J42</f>
        <v>146.68526089230807</v>
      </c>
      <c r="G42" s="2">
        <f>$AD42*AF42</f>
        <v>94.094492668129249</v>
      </c>
      <c r="H42" s="2">
        <f>$AD42*AG42</f>
        <v>28.766560874871853</v>
      </c>
      <c r="I42" s="2">
        <f>$AD42*AH42</f>
        <v>1.3983969403598997</v>
      </c>
      <c r="J42" s="2">
        <f>$E42*AI42</f>
        <v>23.399999999999956</v>
      </c>
      <c r="K42" s="2">
        <f>$E42*AJ42</f>
        <v>79.32268370606991</v>
      </c>
      <c r="L42" s="2">
        <f>$E42*AK42</f>
        <v>82.999999999999702</v>
      </c>
      <c r="M42" s="2">
        <f>$E42*(AB42/100)</f>
        <v>63.434824267800003</v>
      </c>
      <c r="N42" s="2">
        <f>$E42*AL42</f>
        <v>2.597124600638959</v>
      </c>
      <c r="O42" s="2">
        <f>$E42*(AA42/100)</f>
        <v>130.73482427599998</v>
      </c>
      <c r="P42" s="2">
        <f>$E42*AM42</f>
        <v>4.8280423280422902</v>
      </c>
      <c r="Q42" s="2">
        <f>$E42*AN42</f>
        <v>2.9999999999999662</v>
      </c>
      <c r="R42" s="2">
        <f>$E42*AQ42</f>
        <v>0</v>
      </c>
      <c r="S42" s="2">
        <f>$E42*AO42</f>
        <v>6.9932907348241864</v>
      </c>
      <c r="T42" s="2">
        <f>$E42*AP42</f>
        <v>1.9980830670926475</v>
      </c>
      <c r="U42" s="2">
        <f>S42-T42</f>
        <v>4.9952076677315391</v>
      </c>
      <c r="V42" s="1">
        <f>F42/D42</f>
        <v>0.26731426025851063</v>
      </c>
      <c r="W42" s="1">
        <f>(F42+M42+N42+P42)/(D42+M42+N42+Q42)</f>
        <v>0.35214655173176074</v>
      </c>
      <c r="X42" s="1">
        <f>(G42+H42*2+I42*3+J42*4)/D42</f>
        <v>0.45453968768548197</v>
      </c>
      <c r="Y42" s="1">
        <f>W42+X42</f>
        <v>0.80668623941724271</v>
      </c>
      <c r="Z42">
        <v>0.31007179299999998</v>
      </c>
      <c r="AA42">
        <v>21.08626198</v>
      </c>
      <c r="AB42">
        <v>10.231423269</v>
      </c>
      <c r="AD42" s="2">
        <f>(D42-O42-J42+Q42)*Z42</f>
        <v>123.28526089230812</v>
      </c>
      <c r="AE42">
        <v>0.23845312900000001</v>
      </c>
      <c r="AF42">
        <v>0.76322580645161198</v>
      </c>
      <c r="AG42">
        <v>0.233333333333333</v>
      </c>
      <c r="AH42">
        <v>1.1342774718069701E-2</v>
      </c>
      <c r="AI42">
        <v>3.7741935483870899E-2</v>
      </c>
      <c r="AJ42">
        <v>0.12793981242914501</v>
      </c>
      <c r="AK42">
        <v>0.13387096774193499</v>
      </c>
      <c r="AL42">
        <v>4.1889106461918697E-3</v>
      </c>
      <c r="AM42">
        <v>7.7871650452295002E-3</v>
      </c>
      <c r="AN42">
        <v>4.8387096774193004E-3</v>
      </c>
      <c r="AO42">
        <v>1.12795011852003E-2</v>
      </c>
      <c r="AP42">
        <v>3.2227146243429799E-3</v>
      </c>
      <c r="AQ42">
        <v>0</v>
      </c>
    </row>
    <row r="43" spans="1:43" x14ac:dyDescent="0.4">
      <c r="A43" t="s">
        <v>115</v>
      </c>
      <c r="B43" t="s">
        <v>116</v>
      </c>
      <c r="C43" s="4">
        <f>K43*1.9+G43*2.6+H43*5.2+I43*7.8+J43*10.4+L43*1.9+S43*4.2+M43*2.6+P43*2.6</f>
        <v>1145.3241623398874</v>
      </c>
      <c r="D43" s="2">
        <f>E43-M43-P43-Q43-R43</f>
        <v>549.18810525395781</v>
      </c>
      <c r="E43">
        <v>622</v>
      </c>
      <c r="F43" s="2">
        <f>AD43+J43</f>
        <v>127.53701768537059</v>
      </c>
      <c r="G43" s="2">
        <f>$AD43*AF43</f>
        <v>73.648637299398743</v>
      </c>
      <c r="H43" s="2">
        <f>$AD43*AG43</f>
        <v>23.504884244488963</v>
      </c>
      <c r="I43" s="2">
        <f>$AD43*AH43</f>
        <v>0.98332722807331385</v>
      </c>
      <c r="J43" s="2">
        <f>$E43*AI43</f>
        <v>29.599999999999916</v>
      </c>
      <c r="K43" s="2">
        <f>$E43*AJ43</f>
        <v>78.381566820276262</v>
      </c>
      <c r="L43" s="2">
        <f>$E43*AK43</f>
        <v>89.999999999999446</v>
      </c>
      <c r="M43" s="2">
        <f>$E43*(AB43/100)</f>
        <v>59.310445470679994</v>
      </c>
      <c r="N43" s="2">
        <f>$E43*AL43</f>
        <v>2.6821812596005814</v>
      </c>
      <c r="O43" s="2">
        <f>$E43*(AA43/100)</f>
        <v>144.27342552779999</v>
      </c>
      <c r="P43" s="2">
        <f>$E43*AM43</f>
        <v>8.101449275362274</v>
      </c>
      <c r="Q43" s="2">
        <f>$E43*AN43</f>
        <v>5.3999999999999737</v>
      </c>
      <c r="R43" s="2">
        <f>$E43*AQ43</f>
        <v>0</v>
      </c>
      <c r="S43" s="2">
        <f>$E43*AO43</f>
        <v>4.977726574500748</v>
      </c>
      <c r="T43" s="2">
        <f>$E43*AP43</f>
        <v>0.99554531490011955</v>
      </c>
      <c r="U43" s="2">
        <f>S43-T43</f>
        <v>3.9821812596006283</v>
      </c>
      <c r="V43" s="1">
        <f>F43/D43</f>
        <v>0.23222829567001346</v>
      </c>
      <c r="W43" s="1">
        <f>(F43+M43+N43+P43)/(D43+M43+N43+Q43)</f>
        <v>0.32052752127853634</v>
      </c>
      <c r="X43" s="1">
        <f>(G43+H43*2+I43*3+J43*4)/D43</f>
        <v>0.44066574850648987</v>
      </c>
      <c r="Y43" s="1">
        <f>W43+X43</f>
        <v>0.76119326978502622</v>
      </c>
      <c r="Z43">
        <v>0.25724518359999998</v>
      </c>
      <c r="AA43">
        <v>23.195084489999999</v>
      </c>
      <c r="AB43">
        <v>9.5354413939999993</v>
      </c>
      <c r="AD43" s="2">
        <f>(D43-O43-J43+Q43)*Z43</f>
        <v>97.937017685370677</v>
      </c>
      <c r="AE43">
        <v>0.21125561300000001</v>
      </c>
      <c r="AF43">
        <v>0.752</v>
      </c>
      <c r="AG43">
        <v>0.24</v>
      </c>
      <c r="AH43">
        <v>1.0040404040404001E-2</v>
      </c>
      <c r="AI43">
        <v>4.7588424437298903E-2</v>
      </c>
      <c r="AJ43">
        <v>0.12601538073999399</v>
      </c>
      <c r="AK43">
        <v>0.14469453376205699</v>
      </c>
      <c r="AL43">
        <v>4.3121885202581697E-3</v>
      </c>
      <c r="AM43">
        <v>1.30248380632834E-2</v>
      </c>
      <c r="AN43">
        <v>8.68167202572343E-3</v>
      </c>
      <c r="AO43">
        <v>8.0027758432487904E-3</v>
      </c>
      <c r="AP43">
        <v>1.6005551686497099E-3</v>
      </c>
      <c r="AQ43">
        <v>0</v>
      </c>
    </row>
    <row r="44" spans="1:43" x14ac:dyDescent="0.4">
      <c r="A44" t="s">
        <v>248</v>
      </c>
      <c r="B44" t="s">
        <v>250</v>
      </c>
      <c r="C44" s="4">
        <f>K44*1.9+G44*2.6+H44*5.2+I44*7.8+J44*10.4+L44*1.9+S44*4.2+M44*2.6+P44*2.6</f>
        <v>1144.571791487504</v>
      </c>
      <c r="D44" s="2">
        <f>E44-M44-P44-Q44-R44</f>
        <v>485.96151855570298</v>
      </c>
      <c r="E44">
        <v>550</v>
      </c>
      <c r="F44" s="2">
        <f>AD44+J44</f>
        <v>136.98857712726868</v>
      </c>
      <c r="G44" s="2">
        <f>$AD44*AF44</f>
        <v>78.08333876984581</v>
      </c>
      <c r="H44" s="2">
        <f>$AD44*AG44</f>
        <v>27.305634118440519</v>
      </c>
      <c r="I44" s="2">
        <f>$AD44*AH44</f>
        <v>0.99997787806541827</v>
      </c>
      <c r="J44" s="2">
        <f>$E44*AI44</f>
        <v>30.799999999999944</v>
      </c>
      <c r="K44" s="2">
        <f>$E44*AJ44</f>
        <v>78.547252747252301</v>
      </c>
      <c r="L44" s="2">
        <f>$E44*AK44</f>
        <v>82.999999999999503</v>
      </c>
      <c r="M44" s="2">
        <f>$E44*(AB44/100)</f>
        <v>55.040293038500003</v>
      </c>
      <c r="N44" s="2">
        <f>$E44*AL44</f>
        <v>7.7065934065933446</v>
      </c>
      <c r="O44" s="2">
        <f>$E44*(AA44/100)</f>
        <v>93.681318664999992</v>
      </c>
      <c r="P44" s="2">
        <f>$E44*AM44</f>
        <v>4.9981884057970536</v>
      </c>
      <c r="Q44" s="2">
        <f>$E44*AN44</f>
        <v>3.99999999999996</v>
      </c>
      <c r="R44" s="2">
        <f>$E44*AQ44</f>
        <v>0</v>
      </c>
      <c r="S44" s="2">
        <f>$E44*AO44</f>
        <v>2.0014652014651801</v>
      </c>
      <c r="T44" s="2">
        <f>$E44*AP44</f>
        <v>1.0007326007325901</v>
      </c>
      <c r="U44" s="2">
        <f>S44-T44</f>
        <v>1.0007326007325901</v>
      </c>
      <c r="V44" s="1">
        <f>F44/D44</f>
        <v>0.2818918204355032</v>
      </c>
      <c r="W44" s="1">
        <f>(F44+M44+N44+P44)/(D44+M44+N44+Q44)</f>
        <v>0.37041892275523497</v>
      </c>
      <c r="X44" s="1">
        <f>(G44+H44*2+I44*3+J44*4)/D44</f>
        <v>0.53274699900182998</v>
      </c>
      <c r="Y44" s="1">
        <f>W44+X44</f>
        <v>0.90316592175706489</v>
      </c>
      <c r="Z44">
        <v>0.29054536240000001</v>
      </c>
      <c r="AA44">
        <v>17.032967029999998</v>
      </c>
      <c r="AB44">
        <v>10.007326007</v>
      </c>
      <c r="AD44" s="2">
        <f>(D44-O44-J44+Q44)*Z44</f>
        <v>106.18857712726874</v>
      </c>
      <c r="AE44">
        <v>0.24909024299999999</v>
      </c>
      <c r="AF44">
        <v>0.73532710280373803</v>
      </c>
      <c r="AG44">
        <v>0.25714285714285701</v>
      </c>
      <c r="AH44">
        <v>9.4170004450377792E-3</v>
      </c>
      <c r="AI44">
        <v>5.5999999999999897E-2</v>
      </c>
      <c r="AJ44">
        <v>0.142813186813186</v>
      </c>
      <c r="AK44">
        <v>0.15090909090908999</v>
      </c>
      <c r="AL44">
        <v>1.40119880119879E-2</v>
      </c>
      <c r="AM44">
        <v>9.0876152832673699E-3</v>
      </c>
      <c r="AN44">
        <v>7.2727272727271999E-3</v>
      </c>
      <c r="AO44">
        <v>3.6390276390275999E-3</v>
      </c>
      <c r="AP44">
        <v>1.8195138195138E-3</v>
      </c>
      <c r="AQ44">
        <v>0</v>
      </c>
    </row>
    <row r="45" spans="1:43" x14ac:dyDescent="0.4">
      <c r="A45" t="s">
        <v>248</v>
      </c>
      <c r="B45" t="s">
        <v>255</v>
      </c>
      <c r="C45" s="4">
        <f>K45*1.9+G45*2.6+H45*5.2+I45*7.8+J45*10.4+L45*1.9+S45*4.2+M45*2.6+P45*2.6</f>
        <v>1143.3258147940574</v>
      </c>
      <c r="D45" s="2">
        <f>E45-M45-P45-Q45-R45</f>
        <v>589.98747166206044</v>
      </c>
      <c r="E45">
        <v>656</v>
      </c>
      <c r="F45" s="2">
        <f>AD45+J45</f>
        <v>147.19514266557763</v>
      </c>
      <c r="G45" s="2">
        <f>$AD45*AF45</f>
        <v>92.804857230995225</v>
      </c>
      <c r="H45" s="2">
        <f>$AD45*AG45</f>
        <v>29.606928526626973</v>
      </c>
      <c r="I45" s="2">
        <f>$AD45*AH45</f>
        <v>3.0681681789637594</v>
      </c>
      <c r="J45" s="2">
        <f>$E45*AI45</f>
        <v>20.599999999999973</v>
      </c>
      <c r="K45" s="2">
        <f>$E45*AJ45</f>
        <v>88.436691729322675</v>
      </c>
      <c r="L45" s="2">
        <f>$E45*AK45</f>
        <v>72.999999999999972</v>
      </c>
      <c r="M45" s="2">
        <f>$E45*(AB45/100)</f>
        <v>58.118796994656002</v>
      </c>
      <c r="N45" s="2">
        <f>$E45*AL45</f>
        <v>0.59864661654133799</v>
      </c>
      <c r="O45" s="2">
        <f>$E45*(AA45/100)</f>
        <v>100.61954884159999</v>
      </c>
      <c r="P45" s="2">
        <f>$E45*AM45</f>
        <v>3.8937313432835485</v>
      </c>
      <c r="Q45" s="2">
        <f>$E45*AN45</f>
        <v>3.5999999999999734</v>
      </c>
      <c r="R45" s="2">
        <f>$E45*AQ45</f>
        <v>0.39999999999998975</v>
      </c>
      <c r="S45" s="2">
        <f>$E45*AO45</f>
        <v>9.9864661654134732</v>
      </c>
      <c r="T45" s="2">
        <f>$E45*AP45</f>
        <v>2.8972932330826913</v>
      </c>
      <c r="U45" s="2">
        <f>S45-T45</f>
        <v>7.0891729323307819</v>
      </c>
      <c r="V45" s="1">
        <f>F45/D45</f>
        <v>0.24948859041178029</v>
      </c>
      <c r="W45" s="1">
        <f>(F45+M45+N45+P45)/(D45+M45+N45+Q45)</f>
        <v>0.32163841281522204</v>
      </c>
      <c r="X45" s="1">
        <f>(G45+H45*2+I45*3+J45*4)/D45</f>
        <v>0.41292947820540427</v>
      </c>
      <c r="Y45" s="1">
        <f>W45+X45</f>
        <v>0.73456789102062636</v>
      </c>
      <c r="Z45">
        <v>0.26800114180000001</v>
      </c>
      <c r="AA45">
        <v>15.33834586</v>
      </c>
      <c r="AB45">
        <v>8.8595727126000003</v>
      </c>
      <c r="AD45" s="2">
        <f>(D45-O45-J45+Q45)*Z45</f>
        <v>126.59514266557767</v>
      </c>
      <c r="AE45">
        <v>0.22148911099999999</v>
      </c>
      <c r="AF45">
        <v>0.73308387096774197</v>
      </c>
      <c r="AG45">
        <v>0.233870967741935</v>
      </c>
      <c r="AH45">
        <v>2.42360655737704E-2</v>
      </c>
      <c r="AI45">
        <v>3.1402439024390202E-2</v>
      </c>
      <c r="AJ45">
        <v>0.13481203007518699</v>
      </c>
      <c r="AK45">
        <v>0.11128048780487799</v>
      </c>
      <c r="AL45">
        <v>9.1257106180082004E-4</v>
      </c>
      <c r="AM45">
        <v>5.9355660720785798E-3</v>
      </c>
      <c r="AN45">
        <v>5.4878048780487403E-3</v>
      </c>
      <c r="AO45">
        <v>1.5223271593618099E-2</v>
      </c>
      <c r="AP45">
        <v>4.4166055382358098E-3</v>
      </c>
      <c r="AQ45">
        <v>6.0975609756096E-4</v>
      </c>
    </row>
    <row r="46" spans="1:43" x14ac:dyDescent="0.4">
      <c r="A46" t="s">
        <v>214</v>
      </c>
      <c r="B46" t="s">
        <v>221</v>
      </c>
      <c r="C46" s="4">
        <f>K46*1.9+G46*2.6+H46*5.2+I46*7.8+J46*10.4+L46*1.9+S46*4.2+M46*2.6+P46*2.6</f>
        <v>1140.509263579173</v>
      </c>
      <c r="D46" s="2">
        <f>E46-M46-P46-Q46-R46</f>
        <v>536.81436119395551</v>
      </c>
      <c r="E46">
        <v>620</v>
      </c>
      <c r="F46" s="2">
        <f>AD46+J46</f>
        <v>126.58989418206301</v>
      </c>
      <c r="G46" s="2">
        <f>$AD46*AF46</f>
        <v>78.297006141177121</v>
      </c>
      <c r="H46" s="2">
        <f>$AD46*AG46</f>
        <v>24.274590965091406</v>
      </c>
      <c r="I46" s="2">
        <f>$AD46*AH46</f>
        <v>1.3818809939276437</v>
      </c>
      <c r="J46" s="2">
        <f>$E46*AI46</f>
        <v>21.399999999999896</v>
      </c>
      <c r="K46" s="2">
        <f>$E46*AJ46</f>
        <v>79.158662613981292</v>
      </c>
      <c r="L46" s="2">
        <f>$E46*AK46</f>
        <v>69.999999999999616</v>
      </c>
      <c r="M46" s="2">
        <f>$E46*(AB46/100)</f>
        <v>64.007294857000005</v>
      </c>
      <c r="N46" s="2">
        <f>$E46*AL46</f>
        <v>9.4224924012153405E-2</v>
      </c>
      <c r="O46" s="2">
        <f>$E46*(AA46/100)</f>
        <v>158.297872318</v>
      </c>
      <c r="P46" s="2">
        <f>$E46*AM46</f>
        <v>15.178343949044493</v>
      </c>
      <c r="Q46" s="2">
        <f>$E46*AN46</f>
        <v>3.9999999999999964</v>
      </c>
      <c r="R46" s="2">
        <f>$E46*AQ46</f>
        <v>0</v>
      </c>
      <c r="S46" s="2">
        <f>$E46*AO46</f>
        <v>20.972948328267389</v>
      </c>
      <c r="T46" s="2">
        <f>$E46*AP46</f>
        <v>8.048024316109391</v>
      </c>
      <c r="U46" s="2">
        <f>S46-T46</f>
        <v>12.924924012157998</v>
      </c>
      <c r="V46" s="1">
        <f>F46/D46</f>
        <v>0.23581689189631241</v>
      </c>
      <c r="W46" s="1">
        <f>(F46+M46+N46+P46)/(D46+M46+N46+Q46)</f>
        <v>0.34032791068455825</v>
      </c>
      <c r="X46" s="1">
        <f>(G46+H46*2+I46*3+J46*4)/D46</f>
        <v>0.40347622327280852</v>
      </c>
      <c r="Y46" s="1">
        <f>W46+X46</f>
        <v>0.74380413395736678</v>
      </c>
      <c r="Z46">
        <v>0.29129075360000001</v>
      </c>
      <c r="AA46">
        <v>25.531914889999999</v>
      </c>
      <c r="AB46">
        <v>10.323757235</v>
      </c>
      <c r="AD46" s="2">
        <f>(D46-O46-J46+Q46)*Z46</f>
        <v>105.18989418206311</v>
      </c>
      <c r="AE46">
        <v>0.204726664</v>
      </c>
      <c r="AF46">
        <v>0.74433962264150899</v>
      </c>
      <c r="AG46">
        <v>0.23076923076923</v>
      </c>
      <c r="AH46">
        <v>1.31370128725092E-2</v>
      </c>
      <c r="AI46">
        <v>3.4516129032257897E-2</v>
      </c>
      <c r="AJ46">
        <v>0.12767526228061499</v>
      </c>
      <c r="AK46">
        <v>0.112903225806451</v>
      </c>
      <c r="AL46">
        <v>1.5197568389057001E-4</v>
      </c>
      <c r="AM46">
        <v>2.4481199917813699E-2</v>
      </c>
      <c r="AN46">
        <v>6.4516129032258004E-3</v>
      </c>
      <c r="AO46">
        <v>3.38273360133345E-2</v>
      </c>
      <c r="AP46">
        <v>1.2980684380821599E-2</v>
      </c>
      <c r="AQ46">
        <v>0</v>
      </c>
    </row>
    <row r="47" spans="1:43" x14ac:dyDescent="0.4">
      <c r="A47" t="s">
        <v>39</v>
      </c>
      <c r="B47" t="s">
        <v>46</v>
      </c>
      <c r="C47" s="4">
        <f>K47*1.9+G47*2.6+H47*5.2+I47*7.8+J47*10.4+L47*1.9+S47*4.2+M47*2.6+P47*2.6</f>
        <v>1138.9905920767915</v>
      </c>
      <c r="D47" s="2">
        <f>E47-M47-P47-Q47-R47</f>
        <v>570.20739261355118</v>
      </c>
      <c r="E47">
        <v>626</v>
      </c>
      <c r="F47" s="2">
        <f>AD47+J47</f>
        <v>148.28859256475198</v>
      </c>
      <c r="G47" s="2">
        <f>$AD47*AF47</f>
        <v>91.606510945322526</v>
      </c>
      <c r="H47" s="2">
        <f>$AD47*AG47</f>
        <v>33.17892562706151</v>
      </c>
      <c r="I47" s="2">
        <f>$AD47*AH47</f>
        <v>3.3917282400012265</v>
      </c>
      <c r="J47" s="2">
        <f>$E47*AI47</f>
        <v>20.599999999999937</v>
      </c>
      <c r="K47" s="2">
        <f>$E47*AJ47</f>
        <v>81.090577507598269</v>
      </c>
      <c r="L47" s="2">
        <f>$E47*AK47</f>
        <v>80.999999999999744</v>
      </c>
      <c r="M47" s="2">
        <f>$E47*(AB47/100)</f>
        <v>43.786018239162004</v>
      </c>
      <c r="N47" s="2">
        <f>$E47*AL47</f>
        <v>0.99513677811545798</v>
      </c>
      <c r="O47" s="2">
        <f>$E47*(AA47/100)</f>
        <v>99.893617030599998</v>
      </c>
      <c r="P47" s="2">
        <f>$E47*AM47</f>
        <v>6.0065891472868103</v>
      </c>
      <c r="Q47" s="2">
        <f>$E47*AN47</f>
        <v>5.9999999999999911</v>
      </c>
      <c r="R47" s="2">
        <f>$E47*AQ47</f>
        <v>0</v>
      </c>
      <c r="S47" s="2">
        <f>$E47*AO47</f>
        <v>11.941641337385946</v>
      </c>
      <c r="T47" s="2">
        <f>$E47*AP47</f>
        <v>2.9854103343464988</v>
      </c>
      <c r="U47" s="2">
        <f>S47-T47</f>
        <v>8.9562310030394467</v>
      </c>
      <c r="V47" s="1">
        <f>F47/D47</f>
        <v>0.26006080328960618</v>
      </c>
      <c r="W47" s="1">
        <f>(F47+M47+N47+P47)/(D47+M47+N47+Q47)</f>
        <v>0.32057972323132938</v>
      </c>
      <c r="X47" s="1">
        <f>(G47+H47*2+I47*3+J47*4)/D47</f>
        <v>0.43938319664902709</v>
      </c>
      <c r="Y47" s="1">
        <f>W47+X47</f>
        <v>0.75996291988035647</v>
      </c>
      <c r="Z47">
        <v>0.28019471740000002</v>
      </c>
      <c r="AA47">
        <v>15.95744681</v>
      </c>
      <c r="AB47">
        <v>6.9945716036999999</v>
      </c>
      <c r="AD47" s="2">
        <f>(D47-O47-J47+Q47)*Z47</f>
        <v>127.68859256475206</v>
      </c>
      <c r="AE47">
        <v>0.23837981999999999</v>
      </c>
      <c r="AF47">
        <v>0.71742125984251903</v>
      </c>
      <c r="AG47">
        <v>0.25984251968503902</v>
      </c>
      <c r="AH47">
        <v>2.6562499999999999E-2</v>
      </c>
      <c r="AI47">
        <v>3.2907348242811399E-2</v>
      </c>
      <c r="AJ47">
        <v>0.12953766375015699</v>
      </c>
      <c r="AK47">
        <v>0.12939297124600599</v>
      </c>
      <c r="AL47">
        <v>1.5896753644016901E-3</v>
      </c>
      <c r="AM47">
        <v>9.5951903311290894E-3</v>
      </c>
      <c r="AN47">
        <v>9.5846645367411998E-3</v>
      </c>
      <c r="AO47">
        <v>1.9076104372821E-2</v>
      </c>
      <c r="AP47">
        <v>4.7690260932052699E-3</v>
      </c>
      <c r="AQ47">
        <v>0</v>
      </c>
    </row>
    <row r="48" spans="1:43" x14ac:dyDescent="0.4">
      <c r="A48" t="s">
        <v>39</v>
      </c>
      <c r="B48" t="s">
        <v>45</v>
      </c>
      <c r="C48" s="4">
        <f>K48*1.9+G48*2.6+H48*5.2+I48*7.8+J48*10.4+L48*1.9+S48*4.2+M48*2.6+P48*2.6</f>
        <v>1136.940874619306</v>
      </c>
      <c r="D48" s="2">
        <f>E48-M48-P48-Q48-R48</f>
        <v>543.18345237842198</v>
      </c>
      <c r="E48">
        <v>591</v>
      </c>
      <c r="F48" s="2">
        <f>AD48+J48</f>
        <v>151.10978453423542</v>
      </c>
      <c r="G48" s="2">
        <f>$AD48*AF48</f>
        <v>96.820049456793271</v>
      </c>
      <c r="H48" s="2">
        <f>$AD48*AG48</f>
        <v>30.351112682380244</v>
      </c>
      <c r="I48" s="2">
        <f>$AD48*AH48</f>
        <v>3.5776108767426633</v>
      </c>
      <c r="J48" s="2">
        <f>$E48*AI48</f>
        <v>20.599999999999977</v>
      </c>
      <c r="K48" s="2">
        <f>$E48*AJ48</f>
        <v>83.857142857142449</v>
      </c>
      <c r="L48" s="2">
        <f>$E48*AK48</f>
        <v>70.999999999999929</v>
      </c>
      <c r="M48" s="2">
        <f>$E48*(AB48/100)</f>
        <v>38.383333335864002</v>
      </c>
      <c r="N48" s="2">
        <f>$E48*AL48</f>
        <v>2.3876190476190118</v>
      </c>
      <c r="O48" s="2">
        <f>$E48*(AA48/100)</f>
        <v>113.50952383109998</v>
      </c>
      <c r="P48" s="2">
        <f>$E48*AM48</f>
        <v>6.0332142857142124</v>
      </c>
      <c r="Q48" s="2">
        <f>$E48*AN48</f>
        <v>2.9999999999999432</v>
      </c>
      <c r="R48" s="2">
        <f>$E48*AQ48</f>
        <v>0.39999999999998465</v>
      </c>
      <c r="S48" s="2">
        <f>$E48*AO48</f>
        <v>17.982380952380911</v>
      </c>
      <c r="T48" s="2">
        <f>$E48*AP48</f>
        <v>4.9690476190476032</v>
      </c>
      <c r="U48" s="2">
        <f>S48-T48</f>
        <v>13.013333333333307</v>
      </c>
      <c r="V48" s="1">
        <f>F48/D48</f>
        <v>0.27819290862520807</v>
      </c>
      <c r="W48" s="1">
        <f>(F48+M48+N48+P48)/(D48+M48+N48+Q48)</f>
        <v>0.33718794781634776</v>
      </c>
      <c r="X48" s="1">
        <f>(G48+H48*2+I48*3+J48*4)/D48</f>
        <v>0.46145571326638402</v>
      </c>
      <c r="Y48" s="1">
        <f>W48+X48</f>
        <v>0.79864366108273177</v>
      </c>
      <c r="Z48">
        <v>0.31671449099999999</v>
      </c>
      <c r="AA48">
        <v>19.206349209999999</v>
      </c>
      <c r="AB48">
        <v>6.4946418503999999</v>
      </c>
      <c r="AD48" s="2">
        <f>(D48-O48-J48+Q48)*Z48</f>
        <v>130.50978453423545</v>
      </c>
      <c r="AE48">
        <v>0.258743638</v>
      </c>
      <c r="AF48">
        <v>0.74186046511627901</v>
      </c>
      <c r="AG48">
        <v>0.232558139534883</v>
      </c>
      <c r="AH48">
        <v>2.74125874125873E-2</v>
      </c>
      <c r="AI48">
        <v>3.48561759729272E-2</v>
      </c>
      <c r="AJ48">
        <v>0.14189025864152699</v>
      </c>
      <c r="AK48">
        <v>0.12013536379018599</v>
      </c>
      <c r="AL48">
        <v>4.0399645475787003E-3</v>
      </c>
      <c r="AM48">
        <v>1.02084844089919E-2</v>
      </c>
      <c r="AN48">
        <v>5.0761421319795996E-3</v>
      </c>
      <c r="AO48">
        <v>3.04270405285633E-2</v>
      </c>
      <c r="AP48">
        <v>8.40786399162031E-3</v>
      </c>
      <c r="AQ48">
        <v>6.7681895093060003E-4</v>
      </c>
    </row>
    <row r="49" spans="1:43" x14ac:dyDescent="0.4">
      <c r="A49" t="s">
        <v>129</v>
      </c>
      <c r="B49" t="s">
        <v>136</v>
      </c>
      <c r="C49" s="4">
        <f>K49*1.9+G49*2.6+H49*5.2+I49*7.8+J49*10.4+L49*1.9+S49*4.2+M49*2.6+P49*2.6</f>
        <v>1136.1026257527635</v>
      </c>
      <c r="D49" s="2">
        <f>E49-M49-P49-Q49-R49</f>
        <v>563.16417620049378</v>
      </c>
      <c r="E49">
        <v>639</v>
      </c>
      <c r="F49" s="2">
        <f>AD49+J49</f>
        <v>141.70656643321576</v>
      </c>
      <c r="G49" s="2">
        <f>$AD49*AF49</f>
        <v>87.791995895680159</v>
      </c>
      <c r="H49" s="2">
        <f>$AD49*AG49</f>
        <v>27.464865501083647</v>
      </c>
      <c r="I49" s="2">
        <f>$AD49*AH49</f>
        <v>1.4016340374924343</v>
      </c>
      <c r="J49" s="2">
        <f>$E49*AI49</f>
        <v>23.999999999999943</v>
      </c>
      <c r="K49" s="2">
        <f>$E49*AJ49</f>
        <v>80.222670807453028</v>
      </c>
      <c r="L49" s="2">
        <f>$E49*AK49</f>
        <v>73.999999999999815</v>
      </c>
      <c r="M49" s="2">
        <f>$E49*(AB49/100)</f>
        <v>62.051086957400997</v>
      </c>
      <c r="N49" s="2">
        <f>$E49*AL49</f>
        <v>0.3999999999999852</v>
      </c>
      <c r="O49" s="2">
        <f>$E49*(AA49/100)</f>
        <v>149.82763975830002</v>
      </c>
      <c r="P49" s="2">
        <f>$E49*AM49</f>
        <v>7.9847368421051907</v>
      </c>
      <c r="Q49" s="2">
        <f>$E49*AN49</f>
        <v>5.3999999999999471</v>
      </c>
      <c r="R49" s="2">
        <f>$E49*AQ49</f>
        <v>0.3999999999999852</v>
      </c>
      <c r="S49" s="2">
        <f>$E49*AO49</f>
        <v>6.9945652173912434</v>
      </c>
      <c r="T49" s="2">
        <f>$E49*AP49</f>
        <v>2.0976708074534067</v>
      </c>
      <c r="U49" s="2">
        <f>S49-T49</f>
        <v>4.8968944099378362</v>
      </c>
      <c r="V49" s="1">
        <f>F49/D49</f>
        <v>0.25162567581849593</v>
      </c>
      <c r="W49" s="1">
        <f>(F49+M49+N49+P49)/(D49+M49+N49+Q49)</f>
        <v>0.33619216937964769</v>
      </c>
      <c r="X49" s="1">
        <f>(G49+H49*2+I49*3+J49*4)/D49</f>
        <v>0.4313602307754737</v>
      </c>
      <c r="Y49" s="1">
        <f>W49+X49</f>
        <v>0.76755240015512138</v>
      </c>
      <c r="Z49">
        <v>0.29819019920000001</v>
      </c>
      <c r="AA49">
        <v>23.447204970000001</v>
      </c>
      <c r="AB49">
        <v>9.7106552358999991</v>
      </c>
      <c r="AD49" s="2">
        <f>(D49-O49-J49+Q49)*Z49</f>
        <v>117.7065664332158</v>
      </c>
      <c r="AE49">
        <v>0.22243378699999999</v>
      </c>
      <c r="AF49">
        <v>0.74585470085470096</v>
      </c>
      <c r="AG49">
        <v>0.233333333333333</v>
      </c>
      <c r="AH49">
        <v>1.1907866145154201E-2</v>
      </c>
      <c r="AI49">
        <v>3.75586854460093E-2</v>
      </c>
      <c r="AJ49">
        <v>0.12554408577066201</v>
      </c>
      <c r="AK49">
        <v>0.115805946791862</v>
      </c>
      <c r="AL49">
        <v>6.2597809076680002E-4</v>
      </c>
      <c r="AM49">
        <v>1.24956758092413E-2</v>
      </c>
      <c r="AN49">
        <v>8.4507042253520303E-3</v>
      </c>
      <c r="AO49">
        <v>1.0946111451316499E-2</v>
      </c>
      <c r="AP49">
        <v>3.2827399177674599E-3</v>
      </c>
      <c r="AQ49">
        <v>6.2597809076680002E-4</v>
      </c>
    </row>
    <row r="50" spans="1:43" x14ac:dyDescent="0.4">
      <c r="A50" t="s">
        <v>267</v>
      </c>
      <c r="B50" s="3" t="s">
        <v>270</v>
      </c>
      <c r="C50" s="4">
        <f>K50*1.9+G50*2.6+H50*5.2+I50*7.8+J50*10.4+L50*1.9+S50*4.2+M50*2.6+P50*2.6</f>
        <v>1133.5003572225794</v>
      </c>
      <c r="D50" s="2">
        <f>E50-M50-P50-Q50-R50</f>
        <v>520.9152709123</v>
      </c>
      <c r="E50">
        <v>590</v>
      </c>
      <c r="F50" s="2">
        <f>AD50+J50</f>
        <v>137.33827043932234</v>
      </c>
      <c r="G50" s="2">
        <f>$AD50*AF50</f>
        <v>86.146708608614134</v>
      </c>
      <c r="H50" s="2">
        <f>$AD50*AG50</f>
        <v>28.348987797444622</v>
      </c>
      <c r="I50" s="2">
        <f>$AD50*AH50</f>
        <v>3.6555211450591436</v>
      </c>
      <c r="J50" s="2">
        <f>$E50*AI50</f>
        <v>18.88</v>
      </c>
      <c r="K50" s="2">
        <f>$E50*AJ50</f>
        <v>76.502463054186947</v>
      </c>
      <c r="L50" s="2">
        <f>$E50*AK50</f>
        <v>72.999999999999986</v>
      </c>
      <c r="M50" s="2">
        <f>$E50*(AB50/100)</f>
        <v>60.684729087699992</v>
      </c>
      <c r="N50" s="2">
        <f>$E50*AL50</f>
        <v>1.993760262725734</v>
      </c>
      <c r="O50" s="2">
        <f>$E50*(AA50/100)</f>
        <v>157.914614097</v>
      </c>
      <c r="P50" s="2">
        <f>$E50*AM50</f>
        <v>4.7999999999999741</v>
      </c>
      <c r="Q50" s="2">
        <f>$E50*AN50</f>
        <v>3.5999999999999663</v>
      </c>
      <c r="R50" s="2">
        <f>$E50*AQ50</f>
        <v>0</v>
      </c>
      <c r="S50" s="2">
        <f>$E50*AO50</f>
        <v>19.743842364531947</v>
      </c>
      <c r="T50" s="2">
        <f>$E50*AP50</f>
        <v>5.9812807881772789</v>
      </c>
      <c r="U50" s="2">
        <f>S50-T50</f>
        <v>13.762561576354667</v>
      </c>
      <c r="V50" s="1">
        <f>F50/D50</f>
        <v>0.2636480020998353</v>
      </c>
      <c r="W50" s="1">
        <f>(F50+M50+N50+P50)/(D50+M50+N50+Q50)</f>
        <v>0.34880609034078924</v>
      </c>
      <c r="X50" s="1">
        <f>(G50+H50*2+I50*3+J50*4)/D50</f>
        <v>0.4402467357830453</v>
      </c>
      <c r="Y50" s="1">
        <f>W50+X50</f>
        <v>0.78905282612383454</v>
      </c>
      <c r="Z50">
        <v>0.34067078880000001</v>
      </c>
      <c r="AA50">
        <v>26.76518883</v>
      </c>
      <c r="AB50">
        <v>10.285547303</v>
      </c>
      <c r="AD50" s="2">
        <f>(D50-O50-J50+Q50)*Z50</f>
        <v>118.45827043932233</v>
      </c>
      <c r="AE50">
        <v>0.22786631900000001</v>
      </c>
      <c r="AF50">
        <v>0.72723253757736495</v>
      </c>
      <c r="AG50">
        <v>0.23931623931623899</v>
      </c>
      <c r="AH50">
        <v>3.0859146697837399E-2</v>
      </c>
      <c r="AI50">
        <v>3.2000000000000001E-2</v>
      </c>
      <c r="AJ50">
        <v>0.129665191617266</v>
      </c>
      <c r="AK50">
        <v>0.123728813559322</v>
      </c>
      <c r="AL50">
        <v>3.3792546825859898E-3</v>
      </c>
      <c r="AM50">
        <v>8.1355932203389398E-3</v>
      </c>
      <c r="AN50">
        <v>6.1016949152541801E-3</v>
      </c>
      <c r="AO50">
        <v>3.3464139600901603E-2</v>
      </c>
      <c r="AP50">
        <v>1.01377640477581E-2</v>
      </c>
      <c r="AQ50">
        <v>0</v>
      </c>
    </row>
    <row r="51" spans="1:43" x14ac:dyDescent="0.4">
      <c r="A51" t="s">
        <v>61</v>
      </c>
      <c r="B51" t="s">
        <v>275</v>
      </c>
      <c r="C51" s="4">
        <f>K51*1.9+G51*2.6+H51*5.2+I51*7.8+J51*10.4+L51*1.9+S51*4.2+M51*2.6+P51*2.6</f>
        <v>1127.6984912337527</v>
      </c>
      <c r="D51" s="2">
        <f>E51-M51-P51-Q51-R51</f>
        <v>554.5962563792931</v>
      </c>
      <c r="E51">
        <v>629</v>
      </c>
      <c r="F51" s="2">
        <f>AD51+J51</f>
        <v>143.70121450877784</v>
      </c>
      <c r="G51" s="2">
        <f>$AD51*AF51</f>
        <v>90.224043849504227</v>
      </c>
      <c r="H51" s="2">
        <f>$AD51*AG51</f>
        <v>29.072191907062436</v>
      </c>
      <c r="I51" s="2">
        <f>$AD51*AH51</f>
        <v>2.0116620147185644</v>
      </c>
      <c r="J51" s="2">
        <f>$E51*AI51</f>
        <v>22.399999999999935</v>
      </c>
      <c r="K51" s="2">
        <f>$E51*AJ51</f>
        <v>79.711929307805548</v>
      </c>
      <c r="L51" s="2">
        <f>$E51*AK51</f>
        <v>79.999999999999559</v>
      </c>
      <c r="M51" s="2">
        <f>$E51*(AB51/100)</f>
        <v>61.199263620707001</v>
      </c>
      <c r="N51" s="2">
        <f>$E51*AL51</f>
        <v>0.59263622974960306</v>
      </c>
      <c r="O51" s="2">
        <f>$E51*(AA51/100)</f>
        <v>80.593519909600005</v>
      </c>
      <c r="P51" s="2">
        <f>$E51*AM51</f>
        <v>7.0044799999998943</v>
      </c>
      <c r="Q51" s="2">
        <f>$E51*AN51</f>
        <v>6.199999999999962</v>
      </c>
      <c r="R51" s="2">
        <f>$E51*AQ51</f>
        <v>0</v>
      </c>
      <c r="S51" s="2">
        <f>$E51*AO51</f>
        <v>2.9779086892488649</v>
      </c>
      <c r="T51" s="2">
        <f>$E51*AP51</f>
        <v>0.99263622974958199</v>
      </c>
      <c r="U51" s="2">
        <f>S51-T51</f>
        <v>1.9852724594992828</v>
      </c>
      <c r="V51" s="1">
        <f>F51/D51</f>
        <v>0.2591096006434262</v>
      </c>
      <c r="W51" s="1">
        <f>(F51+M51+N51+P51)/(D51+M51+N51+Q51)</f>
        <v>0.34131326179744698</v>
      </c>
      <c r="X51" s="1">
        <f>(G51+H51*2+I51*3+J51*4)/D51</f>
        <v>0.43996585065462201</v>
      </c>
      <c r="Y51" s="1">
        <f>W51+X51</f>
        <v>0.78127911245206905</v>
      </c>
      <c r="Z51">
        <v>0.26496393499999998</v>
      </c>
      <c r="AA51">
        <v>12.812960240000001</v>
      </c>
      <c r="AB51">
        <v>9.7296126583000007</v>
      </c>
      <c r="AD51" s="2">
        <f>(D51-O51-J51+Q51)*Z51</f>
        <v>121.3012145087779</v>
      </c>
      <c r="AE51">
        <v>0.22881850100000001</v>
      </c>
      <c r="AF51">
        <v>0.74380165289256195</v>
      </c>
      <c r="AG51">
        <v>0.23966942148760301</v>
      </c>
      <c r="AH51">
        <v>1.65840220385674E-2</v>
      </c>
      <c r="AI51">
        <v>3.5612082670906098E-2</v>
      </c>
      <c r="AJ51">
        <v>0.12672802751638401</v>
      </c>
      <c r="AK51">
        <v>0.12718600953895001</v>
      </c>
      <c r="AL51">
        <v>9.4218796462575995E-4</v>
      </c>
      <c r="AM51">
        <v>1.1135898251192201E-2</v>
      </c>
      <c r="AN51">
        <v>9.8569157392686194E-3</v>
      </c>
      <c r="AO51">
        <v>4.7343540369616296E-3</v>
      </c>
      <c r="AP51">
        <v>1.57811801232048E-3</v>
      </c>
      <c r="AQ51">
        <v>0</v>
      </c>
    </row>
    <row r="52" spans="1:43" x14ac:dyDescent="0.4">
      <c r="A52" t="s">
        <v>267</v>
      </c>
      <c r="B52" t="s">
        <v>268</v>
      </c>
      <c r="C52" s="4">
        <f>K52*1.9+G52*2.6+H52*5.2+I52*7.8+J52*10.4+L52*1.9+S52*4.2+M52*2.6+P52*2.6</f>
        <v>1127.2605164059739</v>
      </c>
      <c r="D52" s="2">
        <f>E52-M52-P52-Q52-R52</f>
        <v>539.95490394267597</v>
      </c>
      <c r="E52">
        <v>595</v>
      </c>
      <c r="F52" s="2">
        <f>AD52+J52</f>
        <v>135.05195188672516</v>
      </c>
      <c r="G52" s="2">
        <f>$AD52*AF52</f>
        <v>86.218326779532319</v>
      </c>
      <c r="H52" s="2">
        <f>$AD52*AG52</f>
        <v>27.481762616883284</v>
      </c>
      <c r="I52" s="2">
        <f>$AD52*AH52</f>
        <v>4.0362742029905165</v>
      </c>
      <c r="J52" s="2">
        <f>$E52*AI52</f>
        <v>17.999999999999979</v>
      </c>
      <c r="K52" s="2">
        <f>$E52*AJ52</f>
        <v>79.027906976743893</v>
      </c>
      <c r="L52" s="2">
        <f>$E52*AK52</f>
        <v>63.999999999999979</v>
      </c>
      <c r="M52" s="2">
        <f>$E52*(AB52/100)</f>
        <v>37.758139535585002</v>
      </c>
      <c r="N52" s="2">
        <f>$E52*AL52</f>
        <v>1.9976744186046358</v>
      </c>
      <c r="O52" s="2">
        <f>$E52*(AA52/100)</f>
        <v>114.65116279050001</v>
      </c>
      <c r="P52" s="2">
        <f>$E52*AM52</f>
        <v>11.292976588628648</v>
      </c>
      <c r="Q52" s="2">
        <f>$E52*AN52</f>
        <v>3.9999999999999689</v>
      </c>
      <c r="R52" s="2">
        <f>$E52*AQ52</f>
        <v>1.9939799331103305</v>
      </c>
      <c r="S52" s="2">
        <f>$E52*AO52</f>
        <v>33.861627906976707</v>
      </c>
      <c r="T52" s="2">
        <f>$E52*AP52</f>
        <v>8.8906976744185382</v>
      </c>
      <c r="U52" s="2">
        <f>S52-T52</f>
        <v>24.970930232558167</v>
      </c>
      <c r="V52" s="1">
        <f>F52/D52</f>
        <v>0.25011709478068356</v>
      </c>
      <c r="W52" s="1">
        <f>(F52+M52+N52+P52)/(D52+M52+N52+Q52)</f>
        <v>0.31882358285294521</v>
      </c>
      <c r="X52" s="1">
        <f>(G52+H52*2+I52*3+J52*4)/D52</f>
        <v>0.41723979720756127</v>
      </c>
      <c r="Y52" s="1">
        <f>W52+X52</f>
        <v>0.73606338006050653</v>
      </c>
      <c r="Z52">
        <v>0.28458761779999903</v>
      </c>
      <c r="AA52">
        <v>19.26910299</v>
      </c>
      <c r="AB52">
        <v>6.3459058043000001</v>
      </c>
      <c r="AD52" s="2">
        <f>(D52-O52-J52+Q52)*Z52</f>
        <v>117.05195188672518</v>
      </c>
      <c r="AE52">
        <v>0.22575636800000001</v>
      </c>
      <c r="AF52">
        <v>0.73658170914542698</v>
      </c>
      <c r="AG52">
        <v>0.23478260869565201</v>
      </c>
      <c r="AH52">
        <v>3.4482758620689599E-2</v>
      </c>
      <c r="AI52">
        <v>3.02521008403361E-2</v>
      </c>
      <c r="AJ52">
        <v>0.13282001172562</v>
      </c>
      <c r="AK52">
        <v>0.107563025210084</v>
      </c>
      <c r="AL52">
        <v>3.35743599765485E-3</v>
      </c>
      <c r="AM52">
        <v>1.8979792585930501E-2</v>
      </c>
      <c r="AN52">
        <v>6.7226890756301996E-3</v>
      </c>
      <c r="AO52">
        <v>5.6910299003322201E-2</v>
      </c>
      <c r="AP52">
        <v>1.49423490326362E-2</v>
      </c>
      <c r="AQ52">
        <v>3.3512267783366899E-3</v>
      </c>
    </row>
    <row r="53" spans="1:43" x14ac:dyDescent="0.4">
      <c r="A53" t="s">
        <v>107</v>
      </c>
      <c r="B53" t="s">
        <v>113</v>
      </c>
      <c r="C53" s="4">
        <f>K53*1.9+G53*2.6+H53*5.2+I53*7.8+J53*10.4+L53*1.9+S53*4.2+M53*2.6+P53*2.6</f>
        <v>1123.9376322283497</v>
      </c>
      <c r="D53" s="2">
        <f>E53-M53-P53-Q53-R53</f>
        <v>531.43071117886268</v>
      </c>
      <c r="E53">
        <v>603</v>
      </c>
      <c r="F53" s="2">
        <f>AD53+J53</f>
        <v>141.53902360645017</v>
      </c>
      <c r="G53" s="2">
        <f>$AD53*AF53</f>
        <v>87.607014863929436</v>
      </c>
      <c r="H53" s="2">
        <f>$AD53*AG53</f>
        <v>28.555022550683066</v>
      </c>
      <c r="I53" s="2">
        <f>$AD53*AH53</f>
        <v>5.0562614960693288</v>
      </c>
      <c r="J53" s="2">
        <f>$E53*AI53</f>
        <v>21.199999999999939</v>
      </c>
      <c r="K53" s="2">
        <f>$E53*AJ53</f>
        <v>78.509890109890009</v>
      </c>
      <c r="L53" s="2">
        <f>$E53*AK53</f>
        <v>71.999999999999474</v>
      </c>
      <c r="M53" s="2">
        <f>$E53*(AB53/100)</f>
        <v>63.042386166269992</v>
      </c>
      <c r="N53" s="2">
        <f>$E53*AL53</f>
        <v>2.3893249607535183</v>
      </c>
      <c r="O53" s="2">
        <f>$E53*(AA53/100)</f>
        <v>149.56671898979999</v>
      </c>
      <c r="P53" s="2">
        <f>$E53*AM53</f>
        <v>4.9269026548672263</v>
      </c>
      <c r="Q53" s="2">
        <f>$E53*AN53</f>
        <v>3.5999999999999859</v>
      </c>
      <c r="R53" s="2">
        <f>$E53*AQ53</f>
        <v>0</v>
      </c>
      <c r="S53" s="2">
        <f>$E53*AO53</f>
        <v>5.9679748822605916</v>
      </c>
      <c r="T53" s="2">
        <f>$E53*AP53</f>
        <v>1.9893249607535304</v>
      </c>
      <c r="U53" s="2">
        <f>S53-T53</f>
        <v>3.9786499215070612</v>
      </c>
      <c r="V53" s="1">
        <f>F53/D53</f>
        <v>0.2663358000001107</v>
      </c>
      <c r="W53" s="1">
        <f>(F53+M53+N53+P53)/(D53+M53+N53+Q53)</f>
        <v>0.35289075471969589</v>
      </c>
      <c r="X53" s="1">
        <f>(G53+H53*2+I53*3+J53*4)/D53</f>
        <v>0.46042849859151219</v>
      </c>
      <c r="Y53" s="1">
        <f>W53+X53</f>
        <v>0.81331925331120813</v>
      </c>
      <c r="Z53">
        <v>0.33036211700000001</v>
      </c>
      <c r="AA53">
        <v>24.803767659999998</v>
      </c>
      <c r="AB53">
        <v>10.454790408999999</v>
      </c>
      <c r="AD53" s="2">
        <f>(D53-O53-J53+Q53)*Z53</f>
        <v>120.33902360645023</v>
      </c>
      <c r="AE53">
        <v>0.23283477999999999</v>
      </c>
      <c r="AF53">
        <v>0.72800170915823903</v>
      </c>
      <c r="AG53">
        <v>0.23728813559322001</v>
      </c>
      <c r="AH53">
        <v>4.2016806722689003E-2</v>
      </c>
      <c r="AI53">
        <v>3.5157545605306699E-2</v>
      </c>
      <c r="AJ53">
        <v>0.13019882273613601</v>
      </c>
      <c r="AK53">
        <v>0.119402985074626</v>
      </c>
      <c r="AL53">
        <v>3.9623962864900799E-3</v>
      </c>
      <c r="AM53">
        <v>8.1706511689340396E-3</v>
      </c>
      <c r="AN53">
        <v>5.9701492537313199E-3</v>
      </c>
      <c r="AO53">
        <v>9.8971391082265207E-3</v>
      </c>
      <c r="AP53">
        <v>3.2990463694088398E-3</v>
      </c>
      <c r="AQ53">
        <v>0</v>
      </c>
    </row>
    <row r="54" spans="1:43" x14ac:dyDescent="0.4">
      <c r="A54" t="s">
        <v>31</v>
      </c>
      <c r="B54" s="3" t="s">
        <v>35</v>
      </c>
      <c r="C54" s="4">
        <f>K54*1.9+G54*2.6+H54*5.2+I54*7.8+J54*10.4+L54*1.9+S54*4.2+M54*2.6+P54*2.6</f>
        <v>1121.0615000865928</v>
      </c>
      <c r="D54" s="2">
        <f>E54-M54-P54-Q54-R54</f>
        <v>532.65989657683372</v>
      </c>
      <c r="E54">
        <v>585</v>
      </c>
      <c r="F54" s="2">
        <f>AD54+J54</f>
        <v>133.38300626146219</v>
      </c>
      <c r="G54" s="2">
        <f>$AD54*AF54</f>
        <v>78.5353961529038</v>
      </c>
      <c r="H54" s="2">
        <f>$AD54*AG54</f>
        <v>26.509601550457234</v>
      </c>
      <c r="I54" s="2">
        <f>$AD54*AH54</f>
        <v>2.5759153315463394</v>
      </c>
      <c r="J54" s="2">
        <f>$E54*AI54</f>
        <v>26.324999999999999</v>
      </c>
      <c r="K54" s="2">
        <f>$E54*AJ54</f>
        <v>77.417701863353855</v>
      </c>
      <c r="L54" s="2">
        <f>$E54*AK54</f>
        <v>68.999999999999446</v>
      </c>
      <c r="M54" s="2">
        <f>$E54*(AB54/100)</f>
        <v>46.032763973625009</v>
      </c>
      <c r="N54" s="2">
        <f>$E54*AL54</f>
        <v>1.390838509316763</v>
      </c>
      <c r="O54" s="2">
        <f>$E54*(AA54/100)</f>
        <v>139.89130435799999</v>
      </c>
      <c r="P54" s="2">
        <f>$E54*AM54</f>
        <v>1.9073394495412743</v>
      </c>
      <c r="Q54" s="2">
        <f>$E54*AN54</f>
        <v>3.9999999999999782</v>
      </c>
      <c r="R54" s="2">
        <f>$E54*AQ54</f>
        <v>0.3999999999999978</v>
      </c>
      <c r="S54" s="2">
        <f>$E54*AO54</f>
        <v>19.5975</v>
      </c>
      <c r="T54" s="2">
        <f>$E54*AP54</f>
        <v>2.9725155279502955</v>
      </c>
      <c r="U54" s="2">
        <f>S54-T54</f>
        <v>16.624984472049704</v>
      </c>
      <c r="V54" s="1">
        <f>F54/D54</f>
        <v>0.25040932707465863</v>
      </c>
      <c r="W54" s="1">
        <f>(F54+M54+N54+P54)/(D54+M54+N54+Q54)</f>
        <v>0.31282162308654116</v>
      </c>
      <c r="X54" s="1">
        <f>(G54+H54*2+I54*3+J54*4)/D54</f>
        <v>0.45917169064214958</v>
      </c>
      <c r="Y54" s="1">
        <f>W54+X54</f>
        <v>0.77199331372869073</v>
      </c>
      <c r="Z54">
        <v>0.28899948199999997</v>
      </c>
      <c r="AA54">
        <v>23.913043479999999</v>
      </c>
      <c r="AB54">
        <v>7.8688485425000003</v>
      </c>
      <c r="AD54" s="2">
        <f>(D54-O54-J54+Q54)*Z54</f>
        <v>107.05800626146218</v>
      </c>
      <c r="AE54">
        <v>0.22826485099999999</v>
      </c>
      <c r="AF54">
        <v>0.733577981651376</v>
      </c>
      <c r="AG54">
        <v>0.24761904761904699</v>
      </c>
      <c r="AH54">
        <v>2.40609312792106E-2</v>
      </c>
      <c r="AI54">
        <v>4.4999999999999998E-2</v>
      </c>
      <c r="AJ54">
        <v>0.13233795190316899</v>
      </c>
      <c r="AK54">
        <v>0.117948717948717</v>
      </c>
      <c r="AL54">
        <v>2.3775017253278002E-3</v>
      </c>
      <c r="AM54">
        <v>3.2604093154551699E-3</v>
      </c>
      <c r="AN54">
        <v>6.8376068376068003E-3</v>
      </c>
      <c r="AO54">
        <v>3.3500000000000002E-2</v>
      </c>
      <c r="AP54">
        <v>5.0812231247013596E-3</v>
      </c>
      <c r="AQ54">
        <v>6.8376068376067997E-4</v>
      </c>
    </row>
    <row r="55" spans="1:43" x14ac:dyDescent="0.4">
      <c r="A55" t="s">
        <v>101</v>
      </c>
      <c r="B55" s="3" t="s">
        <v>102</v>
      </c>
      <c r="C55" s="4">
        <f>K55*1.9+G55*2.6+H55*5.2+I55*7.8+J55*10.4+L55*1.9+S55*4.2+M55*2.6+P55*2.6</f>
        <v>1118.7005563907085</v>
      </c>
      <c r="D55" s="2">
        <f>E55-M55-P55-Q55-R55</f>
        <v>543.66216541311212</v>
      </c>
      <c r="E55">
        <v>596</v>
      </c>
      <c r="F55" s="2">
        <f>AD55+J55</f>
        <v>137.96417571257166</v>
      </c>
      <c r="G55" s="2">
        <f>$AD55*AF55</f>
        <v>87.376777690249199</v>
      </c>
      <c r="H55" s="2">
        <f>$AD55*AG55</f>
        <v>25.992039047238126</v>
      </c>
      <c r="I55" s="2">
        <f>$AD55*AH55</f>
        <v>4.1115225444788441</v>
      </c>
      <c r="J55" s="2">
        <f>$E55*AI55</f>
        <v>20.999999999999964</v>
      </c>
      <c r="K55" s="2">
        <f>$E55*AJ55</f>
        <v>77.708270676691427</v>
      </c>
      <c r="L55" s="2">
        <f>$E55*AK55</f>
        <v>67.999999999999631</v>
      </c>
      <c r="M55" s="2">
        <f>$E55*(AB55/100)</f>
        <v>39.853834586887999</v>
      </c>
      <c r="N55" s="2">
        <f>$E55*AL55</f>
        <v>0.989624060150326</v>
      </c>
      <c r="O55" s="2">
        <f>$E55*(AA55/100)</f>
        <v>168.49323307239999</v>
      </c>
      <c r="P55" s="2">
        <f>$E55*AM55</f>
        <v>4.9334545454545182</v>
      </c>
      <c r="Q55" s="2">
        <f>$E55*AN55</f>
        <v>4.3999999999999639</v>
      </c>
      <c r="R55" s="2">
        <f>$E55*AQ55</f>
        <v>3.1505454545454197</v>
      </c>
      <c r="S55" s="2">
        <f>$E55*AO55</f>
        <v>26.809473684210477</v>
      </c>
      <c r="T55" s="2">
        <f>$E55*AP55</f>
        <v>5.9377443609022365</v>
      </c>
      <c r="U55" s="2">
        <f>S55-T55</f>
        <v>20.871729323308241</v>
      </c>
      <c r="V55" s="1">
        <f>F55/D55</f>
        <v>0.25376821211705425</v>
      </c>
      <c r="W55" s="1">
        <f>(F55+M55+N55+P55)/(D55+M55+N55+Q55)</f>
        <v>0.31200430323330952</v>
      </c>
      <c r="X55" s="1">
        <f>(G55+H55*2+I55*3+J55*4)/D55</f>
        <v>0.43353287834378573</v>
      </c>
      <c r="Y55" s="1">
        <f>W55+X55</f>
        <v>0.74553718157709525</v>
      </c>
      <c r="Z55">
        <v>0.32619718320000002</v>
      </c>
      <c r="AA55">
        <v>28.270676689999998</v>
      </c>
      <c r="AB55">
        <v>6.6868849978</v>
      </c>
      <c r="AD55" s="2">
        <f>(D55-O55-J55+Q55)*Z55</f>
        <v>116.96417571257169</v>
      </c>
      <c r="AE55">
        <v>0.226258611</v>
      </c>
      <c r="AF55">
        <v>0.74703880190605798</v>
      </c>
      <c r="AG55">
        <v>0.22222222222222199</v>
      </c>
      <c r="AH55">
        <v>3.5151981531358102E-2</v>
      </c>
      <c r="AI55">
        <v>3.5234899328859003E-2</v>
      </c>
      <c r="AJ55">
        <v>0.130383004491093</v>
      </c>
      <c r="AK55">
        <v>0.114093959731543</v>
      </c>
      <c r="AL55">
        <v>1.6604430539435E-3</v>
      </c>
      <c r="AM55">
        <v>8.2776082977424805E-3</v>
      </c>
      <c r="AN55">
        <v>7.3825503355704099E-3</v>
      </c>
      <c r="AO55">
        <v>4.4982338396326302E-2</v>
      </c>
      <c r="AP55">
        <v>9.9626583236614701E-3</v>
      </c>
      <c r="AQ55">
        <v>5.2861500915191602E-3</v>
      </c>
    </row>
    <row r="56" spans="1:43" x14ac:dyDescent="0.4">
      <c r="A56" t="s">
        <v>115</v>
      </c>
      <c r="B56" t="s">
        <v>119</v>
      </c>
      <c r="C56" s="4">
        <f>K56*1.9+G56*2.6+H56*5.2+I56*7.8+J56*10.4+L56*1.9+S56*4.2+M56*2.6+P56*2.6</f>
        <v>1118.0440554608585</v>
      </c>
      <c r="D56" s="2">
        <f>E56-M56-P56-Q56-R56</f>
        <v>571.8640587921069</v>
      </c>
      <c r="E56">
        <v>632</v>
      </c>
      <c r="F56" s="2">
        <f>AD56+J56</f>
        <v>150.02039503226541</v>
      </c>
      <c r="G56" s="2">
        <f>$AD56*AF56</f>
        <v>102.0687947631598</v>
      </c>
      <c r="H56" s="2">
        <f>$AD56*AG56</f>
        <v>28.392085083872509</v>
      </c>
      <c r="I56" s="2">
        <f>$AD56*AH56</f>
        <v>0.98837344536490523</v>
      </c>
      <c r="J56" s="2">
        <f>$E56*AI56</f>
        <v>18.19999999999995</v>
      </c>
      <c r="K56" s="2">
        <f>$E56*AJ56</f>
        <v>85.771428571428132</v>
      </c>
      <c r="L56" s="2">
        <f>$E56*AK56</f>
        <v>65.999999999999716</v>
      </c>
      <c r="M56" s="2">
        <f>$E56*(AB56/100)</f>
        <v>50.186626139399998</v>
      </c>
      <c r="N56" s="2">
        <f>$E56*AL56</f>
        <v>0.6920972644376685</v>
      </c>
      <c r="O56" s="2">
        <f>$E56*(AA56/100)</f>
        <v>108.5349544096</v>
      </c>
      <c r="P56" s="2">
        <f>$E56*AM56</f>
        <v>6.9493150684931386</v>
      </c>
      <c r="Q56" s="2">
        <f>$E56*AN56</f>
        <v>2.5999999999999672</v>
      </c>
      <c r="R56" s="2">
        <f>$E56*AQ56</f>
        <v>0.39999999999998526</v>
      </c>
      <c r="S56" s="2">
        <f>$E56*AO56</f>
        <v>16.932826747720309</v>
      </c>
      <c r="T56" s="2">
        <f>$E56*AP56</f>
        <v>4.980243161094168</v>
      </c>
      <c r="U56" s="2">
        <f>S56-T56</f>
        <v>11.95258358662614</v>
      </c>
      <c r="V56" s="1">
        <f>F56/D56</f>
        <v>0.26233576446321694</v>
      </c>
      <c r="W56" s="1">
        <f>(F56+M56+N56+P56)/(D56+M56+N56+Q56)</f>
        <v>0.33237520192480469</v>
      </c>
      <c r="X56" s="1">
        <f>(G56+H56*2+I56*3+J56*4)/D56</f>
        <v>0.41026898204192169</v>
      </c>
      <c r="Y56" s="1">
        <f>W56+X56</f>
        <v>0.74264418396672638</v>
      </c>
      <c r="Z56">
        <v>0.2944199824</v>
      </c>
      <c r="AA56">
        <v>17.17325228</v>
      </c>
      <c r="AB56">
        <v>7.9409218575000002</v>
      </c>
      <c r="AD56" s="2">
        <f>(D56-O56-J56+Q56)*Z56</f>
        <v>131.82039503226545</v>
      </c>
      <c r="AE56">
        <v>0.24091579199999999</v>
      </c>
      <c r="AF56">
        <v>0.77430199430199398</v>
      </c>
      <c r="AG56">
        <v>0.21538461538461501</v>
      </c>
      <c r="AH56">
        <v>7.49787955894824E-3</v>
      </c>
      <c r="AI56">
        <v>2.8797468354430301E-2</v>
      </c>
      <c r="AJ56">
        <v>0.13571428571428501</v>
      </c>
      <c r="AK56">
        <v>0.104430379746835</v>
      </c>
      <c r="AL56">
        <v>1.0950906082874501E-3</v>
      </c>
      <c r="AM56">
        <v>1.0995751690653701E-2</v>
      </c>
      <c r="AN56">
        <v>4.1139240506328596E-3</v>
      </c>
      <c r="AO56">
        <v>2.6792447385633401E-2</v>
      </c>
      <c r="AP56">
        <v>7.8801315840097592E-3</v>
      </c>
      <c r="AQ56">
        <v>6.3291139240503999E-4</v>
      </c>
    </row>
    <row r="57" spans="1:43" x14ac:dyDescent="0.4">
      <c r="A57" t="s">
        <v>72</v>
      </c>
      <c r="B57" t="s">
        <v>79</v>
      </c>
      <c r="C57" s="4">
        <f>K57*1.9+G57*2.6+H57*5.2+I57*7.8+J57*10.4+L57*1.9+S57*4.2+M57*2.6+P57*2.6</f>
        <v>1111.5663803197117</v>
      </c>
      <c r="D57" s="2">
        <f>E57-M57-P57-Q57-R57</f>
        <v>510.64931243566798</v>
      </c>
      <c r="E57">
        <v>582</v>
      </c>
      <c r="F57" s="2">
        <f>AD57+J57</f>
        <v>132.38472146831714</v>
      </c>
      <c r="G57" s="2">
        <f>$AD57*AF57</f>
        <v>81.594077218204518</v>
      </c>
      <c r="H57" s="2">
        <f>$AD57*AG57</f>
        <v>27.99614595597188</v>
      </c>
      <c r="I57" s="2">
        <f>$AD57*AH57</f>
        <v>2.5677881025357165</v>
      </c>
      <c r="J57" s="2">
        <f>$E57*AI57</f>
        <v>21.399999999999928</v>
      </c>
      <c r="K57" s="2">
        <f>$E57*AJ57</f>
        <v>75.07357142857127</v>
      </c>
      <c r="L57" s="2">
        <f>$E57*AK57</f>
        <v>73.999999999999957</v>
      </c>
      <c r="M57" s="2">
        <f>$E57*(AB57/100)</f>
        <v>61.135714302300002</v>
      </c>
      <c r="N57" s="2">
        <f>$E57*AL57</f>
        <v>2.6117857142856811</v>
      </c>
      <c r="O57" s="2">
        <f>$E57*(AA57/100)</f>
        <v>145.5</v>
      </c>
      <c r="P57" s="2">
        <f>$E57*AM57</f>
        <v>5.8149732620320522</v>
      </c>
      <c r="Q57" s="2">
        <f>$E57*AN57</f>
        <v>4.3999999999999684</v>
      </c>
      <c r="R57" s="2">
        <f>$E57*AQ57</f>
        <v>0</v>
      </c>
      <c r="S57" s="2">
        <f>$E57*AO57</f>
        <v>12.843214285714247</v>
      </c>
      <c r="T57" s="2">
        <f>$E57*AP57</f>
        <v>5.0196428571428457</v>
      </c>
      <c r="U57" s="2">
        <f>S57-T57</f>
        <v>7.8235714285714009</v>
      </c>
      <c r="V57" s="1">
        <f>F57/D57</f>
        <v>0.25924782085160464</v>
      </c>
      <c r="W57" s="1">
        <f>(F57+M57+N57+P57)/(D57+M57+N57+Q57)</f>
        <v>0.34890861594645356</v>
      </c>
      <c r="X57" s="1">
        <f>(G57+H57*2+I57*3+J57*4)/D57</f>
        <v>0.45214930837068901</v>
      </c>
      <c r="Y57" s="1">
        <f>W57+X57</f>
        <v>0.80105792431714251</v>
      </c>
      <c r="Z57">
        <v>0.31878483600000002</v>
      </c>
      <c r="AA57">
        <v>25</v>
      </c>
      <c r="AB57">
        <v>10.504418265</v>
      </c>
      <c r="AD57" s="2">
        <f>(D57-O57-J57+Q57)*Z57</f>
        <v>110.9847214683172</v>
      </c>
      <c r="AE57">
        <v>0.22978407100000001</v>
      </c>
      <c r="AF57">
        <v>0.73518297058119997</v>
      </c>
      <c r="AG57">
        <v>0.25225225225225201</v>
      </c>
      <c r="AH57">
        <v>2.3136410747030101E-2</v>
      </c>
      <c r="AI57">
        <v>3.6769759450171698E-2</v>
      </c>
      <c r="AJ57">
        <v>0.12899239077074101</v>
      </c>
      <c r="AK57">
        <v>0.12714776632302399</v>
      </c>
      <c r="AL57">
        <v>4.4876043200784898E-3</v>
      </c>
      <c r="AM57">
        <v>9.9913629931822207E-3</v>
      </c>
      <c r="AN57">
        <v>7.5601374570446198E-3</v>
      </c>
      <c r="AO57">
        <v>2.20673784977908E-2</v>
      </c>
      <c r="AP57">
        <v>8.6248159057437206E-3</v>
      </c>
      <c r="AQ57">
        <v>0</v>
      </c>
    </row>
    <row r="58" spans="1:43" x14ac:dyDescent="0.4">
      <c r="A58" t="s">
        <v>101</v>
      </c>
      <c r="B58" s="3" t="s">
        <v>103</v>
      </c>
      <c r="C58" s="4">
        <f>K58*1.9+G58*2.6+H58*5.2+I58*7.8+J58*10.4+L58*1.9+S58*4.2+M58*2.6+P58*2.6</f>
        <v>1103.6245913112798</v>
      </c>
      <c r="D58" s="2">
        <f>E58-M58-P58-Q58-R58</f>
        <v>600.8088137559771</v>
      </c>
      <c r="E58">
        <v>643</v>
      </c>
      <c r="F58" s="2">
        <f>AD58+J58</f>
        <v>159.17435781197241</v>
      </c>
      <c r="G58" s="2">
        <f>$AD58*AF58</f>
        <v>98.931402044196673</v>
      </c>
      <c r="H58" s="2">
        <f>$AD58*AG58</f>
        <v>32.276319485169871</v>
      </c>
      <c r="I58" s="2">
        <f>$AD58*AH58</f>
        <v>3.6490172306844841</v>
      </c>
      <c r="J58" s="2">
        <f>$E58*AI58</f>
        <v>21.999999999999979</v>
      </c>
      <c r="K58" s="2">
        <f>$E58*AJ58</f>
        <v>78.603206997084442</v>
      </c>
      <c r="L58" s="2">
        <f>$E58*AK58</f>
        <v>75.999999999999801</v>
      </c>
      <c r="M58" s="2">
        <f>$E58*(AB58/100)</f>
        <v>29.718221574284001</v>
      </c>
      <c r="N58" s="2">
        <f>$E58*AL58</f>
        <v>0.99373177842565097</v>
      </c>
      <c r="O58" s="2">
        <f>$E58*(AA58/100)</f>
        <v>166.84256562410002</v>
      </c>
      <c r="P58" s="2">
        <f>$E58*AM58</f>
        <v>4.8950844854070601</v>
      </c>
      <c r="Q58" s="2">
        <f>$E58*AN58</f>
        <v>4.5999999999999961</v>
      </c>
      <c r="R58" s="2">
        <f>$E58*AQ58</f>
        <v>2.977880184331767</v>
      </c>
      <c r="S58" s="2">
        <f>$E58*AO58</f>
        <v>8.9435860058308645</v>
      </c>
      <c r="T58" s="2">
        <f>$E58*AP58</f>
        <v>3.0749271137026173</v>
      </c>
      <c r="U58" s="2">
        <f>S58-T58</f>
        <v>5.8686588921282468</v>
      </c>
      <c r="V58" s="1">
        <f>F58/D58</f>
        <v>0.26493345997520978</v>
      </c>
      <c r="W58" s="1">
        <f>(F58+M58+N58+P58)/(D58+M58+N58+Q58)</f>
        <v>0.30620191278366021</v>
      </c>
      <c r="X58" s="1">
        <f>(G58+H58*2+I58*3+J58*4)/D58</f>
        <v>0.43679634302631598</v>
      </c>
      <c r="Y58" s="1">
        <f>W58+X58</f>
        <v>0.74299825580997614</v>
      </c>
      <c r="Z58">
        <v>0.32929782099999999</v>
      </c>
      <c r="AA58">
        <v>25.947521869999999</v>
      </c>
      <c r="AB58">
        <v>4.6218073987999997</v>
      </c>
      <c r="AD58" s="2">
        <f>(D58-O58-J58+Q58)*Z58</f>
        <v>137.17435781197244</v>
      </c>
      <c r="AE58">
        <v>0.244375079</v>
      </c>
      <c r="AF58">
        <v>0.721209150326797</v>
      </c>
      <c r="AG58">
        <v>0.23529411764705799</v>
      </c>
      <c r="AH58">
        <v>2.66013071895424E-2</v>
      </c>
      <c r="AI58">
        <v>3.42146189735614E-2</v>
      </c>
      <c r="AJ58">
        <v>0.122244489886601</v>
      </c>
      <c r="AK58">
        <v>0.118195956454121</v>
      </c>
      <c r="AL58">
        <v>1.5454615527615101E-3</v>
      </c>
      <c r="AM58">
        <v>7.61288411416339E-3</v>
      </c>
      <c r="AN58">
        <v>7.1539657853810197E-3</v>
      </c>
      <c r="AO58">
        <v>1.3909153974853599E-2</v>
      </c>
      <c r="AP58">
        <v>4.78215725303673E-3</v>
      </c>
      <c r="AQ58">
        <v>4.6312289025377401E-3</v>
      </c>
    </row>
    <row r="59" spans="1:43" x14ac:dyDescent="0.4">
      <c r="A59" t="s">
        <v>72</v>
      </c>
      <c r="B59" t="s">
        <v>73</v>
      </c>
      <c r="C59" s="4">
        <f>K59*1.9+G59*2.6+H59*5.2+I59*7.8+J59*10.4+L59*1.9+S59*4.2+M59*2.6+P59*2.6</f>
        <v>1090.6099747146463</v>
      </c>
      <c r="D59" s="2">
        <f>E59-M59-P59-Q59-R59</f>
        <v>561.88489511214573</v>
      </c>
      <c r="E59">
        <v>623</v>
      </c>
      <c r="F59" s="2">
        <f>AD59+J59</f>
        <v>137.77116213177598</v>
      </c>
      <c r="G59" s="2">
        <f>$AD59*AF59</f>
        <v>89.688420631802558</v>
      </c>
      <c r="H59" s="2">
        <f>$AD59*AG59</f>
        <v>27.458804978947846</v>
      </c>
      <c r="I59" s="2">
        <f>$AD59*AH59</f>
        <v>1.6100412105235582</v>
      </c>
      <c r="J59" s="2">
        <f>$E59*AI59</f>
        <v>19.799999999999944</v>
      </c>
      <c r="K59" s="2">
        <f>$E59*AJ59</f>
        <v>76.092783505154443</v>
      </c>
      <c r="L59" s="2">
        <f>$E59*AK59</f>
        <v>73.999999999999886</v>
      </c>
      <c r="M59" s="2">
        <f>$E59*(AB59/100)</f>
        <v>53.205154639097998</v>
      </c>
      <c r="N59" s="2">
        <f>$E59*AL59</f>
        <v>0.59175257731958131</v>
      </c>
      <c r="O59" s="2">
        <f>$E59*(AA59/100)</f>
        <v>152.3092783429</v>
      </c>
      <c r="P59" s="2">
        <f>$E59*AM59</f>
        <v>3.9099502487561852</v>
      </c>
      <c r="Q59" s="2">
        <f>$E59*AN59</f>
        <v>3.9999999999999729</v>
      </c>
      <c r="R59" s="2">
        <f>$E59*AQ59</f>
        <v>0</v>
      </c>
      <c r="S59" s="2">
        <f>$E59*AO59</f>
        <v>14.876288659793721</v>
      </c>
      <c r="T59" s="2">
        <f>$E59*AP59</f>
        <v>3.9670103092783231</v>
      </c>
      <c r="U59" s="2">
        <f>S59-T59</f>
        <v>10.909278350515397</v>
      </c>
      <c r="V59" s="1">
        <f>F59/D59</f>
        <v>0.24519463564557728</v>
      </c>
      <c r="W59" s="1">
        <f>(F59+M59+N59+P59)/(D59+M59+N59+Q59)</f>
        <v>0.31544902377705258</v>
      </c>
      <c r="X59" s="1">
        <f>(G59+H59*2+I59*3+J59*4)/D59</f>
        <v>0.40690923747938729</v>
      </c>
      <c r="Y59" s="1">
        <f>W59+X59</f>
        <v>0.72235826125643987</v>
      </c>
      <c r="Z59">
        <v>0.2995898098</v>
      </c>
      <c r="AA59">
        <v>24.447717229999999</v>
      </c>
      <c r="AB59">
        <v>8.5401532325999998</v>
      </c>
      <c r="AD59" s="2">
        <f>(D59-O59-J59+Q59)*Z59</f>
        <v>117.97116213177603</v>
      </c>
      <c r="AE59">
        <v>0.219857358</v>
      </c>
      <c r="AF59">
        <v>0.76025715955581497</v>
      </c>
      <c r="AG59">
        <v>0.232758620689655</v>
      </c>
      <c r="AH59">
        <v>1.3647752394988799E-2</v>
      </c>
      <c r="AI59">
        <v>3.1781701444622702E-2</v>
      </c>
      <c r="AJ59">
        <v>0.12213929936621901</v>
      </c>
      <c r="AK59">
        <v>0.11878009630818601</v>
      </c>
      <c r="AL59">
        <v>9.4984362330590897E-4</v>
      </c>
      <c r="AM59">
        <v>6.2760036095604902E-3</v>
      </c>
      <c r="AN59">
        <v>6.4205457463883996E-3</v>
      </c>
      <c r="AO59">
        <v>2.38784729691713E-2</v>
      </c>
      <c r="AP59">
        <v>6.3675927917790096E-3</v>
      </c>
      <c r="AQ59">
        <v>0</v>
      </c>
    </row>
    <row r="60" spans="1:43" x14ac:dyDescent="0.4">
      <c r="A60" t="s">
        <v>20</v>
      </c>
      <c r="B60" t="s">
        <v>27</v>
      </c>
      <c r="C60" s="4">
        <f>K60*1.9+G60*2.6+H60*5.2+I60*7.8+J60*10.4+L60*1.9+S60*4.2+M60*2.6+P60*2.6</f>
        <v>1086.8072604389467</v>
      </c>
      <c r="D60" s="2">
        <f>E60-M60-P60-Q60-R60</f>
        <v>534.19229935822534</v>
      </c>
      <c r="E60">
        <v>596</v>
      </c>
      <c r="F60" s="2">
        <f>AD60+J60</f>
        <v>140.07481258673735</v>
      </c>
      <c r="G60" s="2">
        <f>$AD60*AF60</f>
        <v>89.358438739356785</v>
      </c>
      <c r="H60" s="2">
        <f>$AD60*AG60</f>
        <v>28.20758264770037</v>
      </c>
      <c r="I60" s="2">
        <f>$AD60*AH60</f>
        <v>0.39624937528912318</v>
      </c>
      <c r="J60" s="2">
        <f>$E60*AI60</f>
        <v>21.199999999999928</v>
      </c>
      <c r="K60" s="2">
        <f>$E60*AJ60</f>
        <v>70.677832512315035</v>
      </c>
      <c r="L60" s="2">
        <f>$E60*AK60</f>
        <v>90.999999999999858</v>
      </c>
      <c r="M60" s="2">
        <f>$E60*(AB60/100)</f>
        <v>49.893267652083999</v>
      </c>
      <c r="N60" s="2">
        <f>$E60*AL60</f>
        <v>5.6850574712643471</v>
      </c>
      <c r="O60" s="2">
        <f>$E60*(AA60/100)</f>
        <v>92.972085412400006</v>
      </c>
      <c r="P60" s="2">
        <f>$E60*AM60</f>
        <v>6.9144329896906838</v>
      </c>
      <c r="Q60" s="2">
        <f>$E60*AN60</f>
        <v>4.9999999999999742</v>
      </c>
      <c r="R60" s="2">
        <f>$E60*AQ60</f>
        <v>0</v>
      </c>
      <c r="S60" s="2">
        <f>$E60*AO60</f>
        <v>6.9850574712643443</v>
      </c>
      <c r="T60" s="2">
        <f>$E60*AP60</f>
        <v>1.995730706075487</v>
      </c>
      <c r="U60" s="2">
        <f>S60-T60</f>
        <v>4.9893267651888573</v>
      </c>
      <c r="V60" s="1">
        <f>F60/D60</f>
        <v>0.26221795550969601</v>
      </c>
      <c r="W60" s="1">
        <f>(F60+M60+N60+P60)/(D60+M60+N60+Q60)</f>
        <v>0.34058099435617306</v>
      </c>
      <c r="X60" s="1">
        <f>(G60+H60*2+I60*3+J60*4)/D60</f>
        <v>0.43385565916817248</v>
      </c>
      <c r="Y60" s="1">
        <f>W60+X60</f>
        <v>0.77443665352434554</v>
      </c>
      <c r="Z60">
        <v>0.27969213859999997</v>
      </c>
      <c r="AA60">
        <v>15.599343190000001</v>
      </c>
      <c r="AB60">
        <v>8.3713536329</v>
      </c>
      <c r="AD60" s="2">
        <f>(D60-O60-J60+Q60)*Z60</f>
        <v>118.87481258673743</v>
      </c>
      <c r="AE60">
        <v>0.23522510099999999</v>
      </c>
      <c r="AF60">
        <v>0.75170203674690195</v>
      </c>
      <c r="AG60">
        <v>0.23728813559322001</v>
      </c>
      <c r="AH60">
        <v>3.3333333333333201E-3</v>
      </c>
      <c r="AI60">
        <v>3.5570469798657599E-2</v>
      </c>
      <c r="AJ60">
        <v>0.11858696730254201</v>
      </c>
      <c r="AK60">
        <v>0.15268456375838901</v>
      </c>
      <c r="AL60">
        <v>9.5386870323227301E-3</v>
      </c>
      <c r="AM60">
        <v>1.1601397633709201E-2</v>
      </c>
      <c r="AN60">
        <v>8.3892617449663996E-3</v>
      </c>
      <c r="AO60">
        <v>1.1719895086014001E-2</v>
      </c>
      <c r="AP60">
        <v>3.3485414531467901E-3</v>
      </c>
      <c r="AQ60">
        <v>0</v>
      </c>
    </row>
    <row r="61" spans="1:43" x14ac:dyDescent="0.4">
      <c r="A61" t="s">
        <v>80</v>
      </c>
      <c r="B61" t="s">
        <v>83</v>
      </c>
      <c r="C61" s="4">
        <f>K61*1.9+G61*2.6+H61*5.2+I61*7.8+J61*10.4+L61*1.9+S61*4.2+M61*2.6+P61*2.6</f>
        <v>1082.0706170080059</v>
      </c>
      <c r="D61" s="2">
        <f>E61-M61-P61-Q61-R61</f>
        <v>527.13961343354651</v>
      </c>
      <c r="E61">
        <v>574</v>
      </c>
      <c r="F61" s="2">
        <f>AD61+J61</f>
        <v>131.71358987280291</v>
      </c>
      <c r="G61" s="2">
        <f>$AD61*AF61</f>
        <v>79.235394869386326</v>
      </c>
      <c r="H61" s="2">
        <f>$AD61*AG61</f>
        <v>27.640254024204488</v>
      </c>
      <c r="I61" s="2">
        <f>$AD61*AH61</f>
        <v>1.4180322366327076</v>
      </c>
      <c r="J61" s="2">
        <f>$E61*AI61</f>
        <v>23.19999999999991</v>
      </c>
      <c r="K61" s="2">
        <f>$E61*AJ61</f>
        <v>73.780645161290309</v>
      </c>
      <c r="L61" s="2">
        <f>$E61*AK61</f>
        <v>67.999999999999517</v>
      </c>
      <c r="M61" s="2">
        <f>$E61*(AB61/100)</f>
        <v>35.838709674838</v>
      </c>
      <c r="N61" s="2">
        <f>$E61*AL61</f>
        <v>2.1526881720429629</v>
      </c>
      <c r="O61" s="2">
        <f>$E61*(AA61/100)</f>
        <v>163.99999999179997</v>
      </c>
      <c r="P61" s="2">
        <f>$E61*AM61</f>
        <v>8.0216768916154688</v>
      </c>
      <c r="Q61" s="2">
        <f>$E61*AN61</f>
        <v>2.9999999999999809</v>
      </c>
      <c r="R61" s="2">
        <f>$E61*AQ61</f>
        <v>0</v>
      </c>
      <c r="S61" s="2">
        <f>$E61*AO61</f>
        <v>22.992473118279527</v>
      </c>
      <c r="T61" s="2">
        <f>$E61*AP61</f>
        <v>5.9290322580644608</v>
      </c>
      <c r="U61" s="2">
        <f>S61-T61</f>
        <v>17.063440860215067</v>
      </c>
      <c r="V61" s="1">
        <f>F61/D61</f>
        <v>0.24986471613256456</v>
      </c>
      <c r="W61" s="1">
        <f>(F61+M61+N61+P61)/(D61+M61+N61+Q61)</f>
        <v>0.31282690274334291</v>
      </c>
      <c r="X61" s="1">
        <f>(G61+H61*2+I61*3+J61*4)/D61</f>
        <v>0.43929538537115803</v>
      </c>
      <c r="Y61" s="1">
        <f>W61+X61</f>
        <v>0.75212228811450088</v>
      </c>
      <c r="Z61">
        <v>0.31642185859999999</v>
      </c>
      <c r="AA61">
        <v>28.571428569999998</v>
      </c>
      <c r="AB61">
        <v>6.2436776436999999</v>
      </c>
      <c r="AD61" s="2">
        <f>(D61-O61-J61+Q61)*Z61</f>
        <v>108.513589872803</v>
      </c>
      <c r="AE61">
        <v>0.224914376</v>
      </c>
      <c r="AF61">
        <v>0.73018867924528297</v>
      </c>
      <c r="AG61">
        <v>0.25471698113207503</v>
      </c>
      <c r="AH61">
        <v>1.30677847658979E-2</v>
      </c>
      <c r="AI61">
        <v>4.04181184668988E-2</v>
      </c>
      <c r="AJ61">
        <v>0.12853770934022701</v>
      </c>
      <c r="AK61">
        <v>0.118466898954703</v>
      </c>
      <c r="AL61">
        <v>3.75032782585882E-3</v>
      </c>
      <c r="AM61">
        <v>1.39750468495043E-2</v>
      </c>
      <c r="AN61">
        <v>5.2264808362369004E-3</v>
      </c>
      <c r="AO61">
        <v>4.0056573376793601E-2</v>
      </c>
      <c r="AP61">
        <v>1.03293244914015E-2</v>
      </c>
      <c r="AQ61">
        <v>0</v>
      </c>
    </row>
    <row r="62" spans="1:43" x14ac:dyDescent="0.4">
      <c r="A62" t="s">
        <v>248</v>
      </c>
      <c r="B62" t="s">
        <v>249</v>
      </c>
      <c r="C62" s="4">
        <f>K62*1.9+G62*2.6+H62*5.2+I62*7.8+J62*10.4+L62*1.9+S62*4.2+M62*2.6+P62*2.6</f>
        <v>1079.3482835529956</v>
      </c>
      <c r="D62" s="2">
        <f>E62-M62-P62-Q62-R62</f>
        <v>547.3581776935157</v>
      </c>
      <c r="E62">
        <v>607</v>
      </c>
      <c r="F62" s="2">
        <f>AD62+J62</f>
        <v>123.03797114857832</v>
      </c>
      <c r="G62" s="2">
        <f>$AD62*AF62</f>
        <v>72.286711683042554</v>
      </c>
      <c r="H62" s="2">
        <f>$AD62*AG62</f>
        <v>23.056426148631918</v>
      </c>
      <c r="I62" s="2">
        <f>$AD62*AH62</f>
        <v>1.3739507142279377</v>
      </c>
      <c r="J62" s="2">
        <f>$E62*AI62</f>
        <v>25.799999999999955</v>
      </c>
      <c r="K62" s="2">
        <f>$E62*AJ62</f>
        <v>75.924999999999699</v>
      </c>
      <c r="L62" s="2">
        <f>$E62*AK62</f>
        <v>83.999999999999574</v>
      </c>
      <c r="M62" s="2">
        <f>$E62*(AB62/100)</f>
        <v>47.732792206150002</v>
      </c>
      <c r="N62" s="2">
        <f>$E62*AL62</f>
        <v>1.3985389610389474</v>
      </c>
      <c r="O62" s="2">
        <f>$E62*(AA62/100)</f>
        <v>169.48701297439999</v>
      </c>
      <c r="P62" s="2">
        <f>$E62*AM62</f>
        <v>6.9090301003344008</v>
      </c>
      <c r="Q62" s="2">
        <f>$E62*AN62</f>
        <v>4.9999999999999538</v>
      </c>
      <c r="R62" s="2">
        <f>$E62*AQ62</f>
        <v>0</v>
      </c>
      <c r="S62" s="2">
        <f>$E62*AO62</f>
        <v>11.082467532467479</v>
      </c>
      <c r="T62" s="2">
        <f>$E62*AP62</f>
        <v>3.094155844155813</v>
      </c>
      <c r="U62" s="2">
        <f>S62-T62</f>
        <v>7.9883116883116667</v>
      </c>
      <c r="V62" s="1">
        <f>F62/D62</f>
        <v>0.22478511541937979</v>
      </c>
      <c r="W62" s="1">
        <f>(F62+M62+N62+P62)/(D62+M62+N62+Q62)</f>
        <v>0.29772478119410289</v>
      </c>
      <c r="X62" s="1">
        <f>(G62+H62*2+I62*3+J62*4)/D62</f>
        <v>0.41238338134299157</v>
      </c>
      <c r="Y62" s="1">
        <f>W62+X62</f>
        <v>0.71010816253709441</v>
      </c>
      <c r="Z62">
        <v>0.27232098459999998</v>
      </c>
      <c r="AA62">
        <v>27.92207792</v>
      </c>
      <c r="AB62">
        <v>7.863721945</v>
      </c>
      <c r="AD62" s="2">
        <f>(D62-O62-J62+Q62)*Z62</f>
        <v>97.237971148578367</v>
      </c>
      <c r="AE62">
        <v>0.20888731699999999</v>
      </c>
      <c r="AF62">
        <v>0.74340004042854202</v>
      </c>
      <c r="AG62">
        <v>0.23711340206185499</v>
      </c>
      <c r="AH62">
        <v>1.41297756215888E-2</v>
      </c>
      <c r="AI62">
        <v>4.2504118616144899E-2</v>
      </c>
      <c r="AJ62">
        <v>0.12508237232289901</v>
      </c>
      <c r="AK62">
        <v>0.13838550247116899</v>
      </c>
      <c r="AL62">
        <v>2.3040180577247899E-3</v>
      </c>
      <c r="AM62">
        <v>1.1382257166942999E-2</v>
      </c>
      <c r="AN62">
        <v>8.2372322899505E-3</v>
      </c>
      <c r="AO62">
        <v>1.8257771882154002E-2</v>
      </c>
      <c r="AP62">
        <v>5.0974560859239097E-3</v>
      </c>
      <c r="AQ62">
        <v>0</v>
      </c>
    </row>
    <row r="63" spans="1:43" x14ac:dyDescent="0.4">
      <c r="A63" t="s">
        <v>84</v>
      </c>
      <c r="B63" t="s">
        <v>91</v>
      </c>
      <c r="C63" s="4">
        <f>K63*1.9+G63*2.6+H63*5.2+I63*7.8+J63*10.4+L63*1.9+S63*4.2+M63*2.6+P63*2.6</f>
        <v>1077.9371051668097</v>
      </c>
      <c r="D63" s="2">
        <f>E63-M63-P63-Q63-R63</f>
        <v>521.20317057075704</v>
      </c>
      <c r="E63">
        <v>591</v>
      </c>
      <c r="F63" s="2">
        <f>AD63+J63</f>
        <v>126.42809225341892</v>
      </c>
      <c r="G63" s="2">
        <f>$AD63*AF63</f>
        <v>76.646715361326287</v>
      </c>
      <c r="H63" s="2">
        <f>$AD63*AG63</f>
        <v>27.596207184364481</v>
      </c>
      <c r="I63" s="2">
        <f>$AD63*AH63</f>
        <v>2.6104022416718462</v>
      </c>
      <c r="J63" s="2">
        <f>$E63*AI63</f>
        <v>18.999999999999979</v>
      </c>
      <c r="K63" s="2">
        <f>$E63*AJ63</f>
        <v>71.20836236933738</v>
      </c>
      <c r="L63" s="2">
        <f>$E63*AK63</f>
        <v>73.999999999999517</v>
      </c>
      <c r="M63" s="2">
        <f>$E63*(AB63/100)</f>
        <v>56.577700346816997</v>
      </c>
      <c r="N63" s="2">
        <f>$E63*AL63</f>
        <v>0.60296167247384569</v>
      </c>
      <c r="O63" s="2">
        <f>$E63*(AA63/100)</f>
        <v>122.52439026120001</v>
      </c>
      <c r="P63" s="2">
        <f>$E63*AM63</f>
        <v>9.0191290824260815</v>
      </c>
      <c r="Q63" s="2">
        <f>$E63*AN63</f>
        <v>4.1999999999999682</v>
      </c>
      <c r="R63" s="2">
        <f>$E63*AQ63</f>
        <v>0</v>
      </c>
      <c r="S63" s="2">
        <f>$E63*AO63</f>
        <v>16.844425087108004</v>
      </c>
      <c r="T63" s="2">
        <f>$E63*AP63</f>
        <v>3.9088850174215684</v>
      </c>
      <c r="U63" s="2">
        <f>S63-T63</f>
        <v>12.935540069686436</v>
      </c>
      <c r="V63" s="1">
        <f>F63/D63</f>
        <v>0.24256969142181267</v>
      </c>
      <c r="W63" s="1">
        <f>(F63+M63+N63+P63)/(D63+M63+N63+Q63)</f>
        <v>0.33064405941159042</v>
      </c>
      <c r="X63" s="1">
        <f>(G63+H63*2+I63*3+J63*4)/D63</f>
        <v>0.41379321660475571</v>
      </c>
      <c r="Y63" s="1">
        <f>W63+X63</f>
        <v>0.74443727601634613</v>
      </c>
      <c r="Z63">
        <v>0.27984899860000001</v>
      </c>
      <c r="AA63">
        <v>20.731707320000002</v>
      </c>
      <c r="AB63">
        <v>9.5732149487000004</v>
      </c>
      <c r="AD63" s="2">
        <f>(D63-O63-J63+Q63)*Z63</f>
        <v>107.42809225341894</v>
      </c>
      <c r="AE63">
        <v>0.213729272</v>
      </c>
      <c r="AF63">
        <v>0.713469947697847</v>
      </c>
      <c r="AG63">
        <v>0.25688073394495398</v>
      </c>
      <c r="AH63">
        <v>2.4299065420560598E-2</v>
      </c>
      <c r="AI63">
        <v>3.21489001692047E-2</v>
      </c>
      <c r="AJ63">
        <v>0.120487922790757</v>
      </c>
      <c r="AK63">
        <v>0.12521150592216501</v>
      </c>
      <c r="AL63">
        <v>1.02023971653781E-3</v>
      </c>
      <c r="AM63">
        <v>1.5260793709688801E-2</v>
      </c>
      <c r="AN63">
        <v>7.10659898477152E-3</v>
      </c>
      <c r="AO63">
        <v>2.8501565291214899E-2</v>
      </c>
      <c r="AP63">
        <v>6.6140186419992699E-3</v>
      </c>
      <c r="AQ63">
        <v>0</v>
      </c>
    </row>
    <row r="64" spans="1:43" x14ac:dyDescent="0.4">
      <c r="A64" t="s">
        <v>122</v>
      </c>
      <c r="B64" t="s">
        <v>128</v>
      </c>
      <c r="C64" s="4">
        <f>K64*1.9+G64*2.6+H64*5.2+I64*7.8+J64*10.4+L64*1.9+S64*4.2+M64*2.6+P64*2.6</f>
        <v>1071.7286723444197</v>
      </c>
      <c r="D64" s="2">
        <f>E64-M64-P64-Q64-R64</f>
        <v>529.78759531067635</v>
      </c>
      <c r="E64">
        <v>596</v>
      </c>
      <c r="F64" s="2">
        <f>AD64+J64</f>
        <v>139.01864787762418</v>
      </c>
      <c r="G64" s="2">
        <f>$AD64*AF64</f>
        <v>84.441891341160144</v>
      </c>
      <c r="H64" s="2">
        <f>$AD64*AG64</f>
        <v>31.789888504907353</v>
      </c>
      <c r="I64" s="2">
        <f>$AD64*AH64</f>
        <v>1.9868680315567062</v>
      </c>
      <c r="J64" s="2">
        <f>$E64*AI64</f>
        <v>20.79999999999994</v>
      </c>
      <c r="K64" s="2">
        <f>$E64*AJ64</f>
        <v>70.17142857142845</v>
      </c>
      <c r="L64" s="2">
        <f>$E64*AK64</f>
        <v>83.999999999999858</v>
      </c>
      <c r="M64" s="2">
        <f>$E64*(AB64/100)</f>
        <v>53.186984128576007</v>
      </c>
      <c r="N64" s="2">
        <f>$E64*AL64</f>
        <v>2.3892063492063063</v>
      </c>
      <c r="O64" s="2">
        <f>$E64*(AA64/100)</f>
        <v>79.466666646799993</v>
      </c>
      <c r="P64" s="2">
        <f>$E64*AM64</f>
        <v>5.9570093457943711</v>
      </c>
      <c r="Q64" s="2">
        <f>$E64*AN64</f>
        <v>5.9999999999999813</v>
      </c>
      <c r="R64" s="2">
        <f>$E64*AQ64</f>
        <v>1.0684112149532179</v>
      </c>
      <c r="S64" s="2">
        <f>$E64*AO64</f>
        <v>1.9892063492063035</v>
      </c>
      <c r="T64" s="2">
        <f>$E64*AP64</f>
        <v>0</v>
      </c>
      <c r="U64" s="2">
        <f>S64-T64</f>
        <v>1.9892063492063035</v>
      </c>
      <c r="V64" s="1">
        <f>F64/D64</f>
        <v>0.26240449778009867</v>
      </c>
      <c r="W64" s="1">
        <f>(F64+M64+N64+P64)/(D64+M64+N64+Q64)</f>
        <v>0.33913447613943309</v>
      </c>
      <c r="X64" s="1">
        <f>(G64+H64*2+I64*3+J64*4)/D64</f>
        <v>0.44769314069454014</v>
      </c>
      <c r="Y64" s="1">
        <f>W64+X64</f>
        <v>0.78682761683397318</v>
      </c>
      <c r="Z64">
        <v>0.271441944799999</v>
      </c>
      <c r="AA64">
        <v>13.33333333</v>
      </c>
      <c r="AB64">
        <v>8.9239906256000001</v>
      </c>
      <c r="AD64" s="2">
        <f>(D64-O64-J64+Q64)*Z64</f>
        <v>118.21864787762425</v>
      </c>
      <c r="AE64">
        <v>0.23655214699999999</v>
      </c>
      <c r="AF64">
        <v>0.71428571428571397</v>
      </c>
      <c r="AG64">
        <v>0.26890756302521002</v>
      </c>
      <c r="AH64">
        <v>1.6806722689075598E-2</v>
      </c>
      <c r="AI64">
        <v>3.4899328859060302E-2</v>
      </c>
      <c r="AJ64">
        <v>0.117737296260786</v>
      </c>
      <c r="AK64">
        <v>0.14093959731543601</v>
      </c>
      <c r="AL64">
        <v>4.0087354852454803E-3</v>
      </c>
      <c r="AM64">
        <v>9.9949821238160593E-3</v>
      </c>
      <c r="AN64">
        <v>1.00671140939597E-2</v>
      </c>
      <c r="AO64">
        <v>3.3375945456481601E-3</v>
      </c>
      <c r="AP64">
        <v>0</v>
      </c>
      <c r="AQ64">
        <v>1.7926362667000299E-3</v>
      </c>
    </row>
    <row r="65" spans="1:43" x14ac:dyDescent="0.4">
      <c r="A65" t="s">
        <v>172</v>
      </c>
      <c r="B65" s="3" t="s">
        <v>179</v>
      </c>
      <c r="C65" s="4">
        <f>K65*1.9+G65*2.6+H65*5.2+I65*7.8+J65*10.4+L65*1.9+S65*4.2+M65*2.6+P65*2.6</f>
        <v>1066.0142852178328</v>
      </c>
      <c r="D65" s="2">
        <f>E65-M65-P65-Q65-R65</f>
        <v>552.22028195285463</v>
      </c>
      <c r="E65">
        <v>606</v>
      </c>
      <c r="F65" s="2">
        <f>AD65+J65</f>
        <v>130.69974556483965</v>
      </c>
      <c r="G65" s="2">
        <f>$AD65*AF65</f>
        <v>77.027036518528021</v>
      </c>
      <c r="H65" s="2">
        <f>$AD65*AG65</f>
        <v>25.371224149712745</v>
      </c>
      <c r="I65" s="2">
        <f>$AD65*AH65</f>
        <v>0.98940195028046918</v>
      </c>
      <c r="J65" s="2">
        <f>$E65*AI65</f>
        <v>28.199999999999921</v>
      </c>
      <c r="K65" s="2">
        <f>$E65*AJ65</f>
        <v>72.03488721804456</v>
      </c>
      <c r="L65" s="2">
        <f>$E65*AK65</f>
        <v>85.999999999999446</v>
      </c>
      <c r="M65" s="2">
        <f>$E65*(AB65/100)</f>
        <v>44.338646618574003</v>
      </c>
      <c r="N65" s="2">
        <f>$E65*AL65</f>
        <v>0.99112781954884233</v>
      </c>
      <c r="O65" s="2">
        <f>$E65*(AA65/100)</f>
        <v>176.78796991980002</v>
      </c>
      <c r="P65" s="2">
        <f>$E65*AM65</f>
        <v>5.0410714285713993</v>
      </c>
      <c r="Q65" s="2">
        <f>$E65*AN65</f>
        <v>4.399999999999987</v>
      </c>
      <c r="R65" s="2">
        <f>$E65*AQ65</f>
        <v>0</v>
      </c>
      <c r="S65" s="2">
        <f>$E65*AO65</f>
        <v>0.99112781954884233</v>
      </c>
      <c r="T65" s="2">
        <f>$E65*AP65</f>
        <v>0</v>
      </c>
      <c r="U65" s="2">
        <f>S65-T65</f>
        <v>0.99112781954884233</v>
      </c>
      <c r="V65" s="1">
        <f>F65/D65</f>
        <v>0.2366804513275701</v>
      </c>
      <c r="W65" s="1">
        <f>(F65+M65+N65+P65)/(D65+M65+N65+Q65)</f>
        <v>0.30080666910665632</v>
      </c>
      <c r="X65" s="1">
        <f>(G65+H65*2+I65*3+J65*4)/D65</f>
        <v>0.44101547630151411</v>
      </c>
      <c r="Y65" s="1">
        <f>W65+X65</f>
        <v>0.74182214540817037</v>
      </c>
      <c r="Z65">
        <v>0.29149694739999998</v>
      </c>
      <c r="AA65">
        <v>29.172932329999998</v>
      </c>
      <c r="AB65">
        <v>7.3166083529000003</v>
      </c>
      <c r="AD65" s="2">
        <f>(D65-O65-J65+Q65)*Z65</f>
        <v>102.49974556483971</v>
      </c>
      <c r="AE65">
        <v>0.21994683700000001</v>
      </c>
      <c r="AF65">
        <v>0.75148514851485104</v>
      </c>
      <c r="AG65">
        <v>0.247524752475247</v>
      </c>
      <c r="AH65">
        <v>9.6527259148618001E-3</v>
      </c>
      <c r="AI65">
        <v>4.6534653465346403E-2</v>
      </c>
      <c r="AJ65">
        <v>0.118869450854859</v>
      </c>
      <c r="AK65">
        <v>0.14191419141914099</v>
      </c>
      <c r="AL65">
        <v>1.63552445470106E-3</v>
      </c>
      <c r="AM65">
        <v>8.31859971711452E-3</v>
      </c>
      <c r="AN65">
        <v>7.26072607260724E-3</v>
      </c>
      <c r="AO65">
        <v>1.63552445470106E-3</v>
      </c>
      <c r="AP65">
        <v>0</v>
      </c>
      <c r="AQ65">
        <v>0</v>
      </c>
    </row>
    <row r="66" spans="1:43" x14ac:dyDescent="0.4">
      <c r="A66" t="s">
        <v>172</v>
      </c>
      <c r="B66" t="s">
        <v>173</v>
      </c>
      <c r="C66" s="4">
        <f>K66*1.9+G66*2.6+H66*5.2+I66*7.8+J66*10.4+L66*1.9+S66*4.2+M66*2.6+P66*2.6</f>
        <v>1065.5174494790792</v>
      </c>
      <c r="D66" s="2">
        <f>E66-M66-P66-Q66-R66</f>
        <v>519.20580188989027</v>
      </c>
      <c r="E66">
        <v>603</v>
      </c>
      <c r="F66" s="2">
        <f>AD66+J66</f>
        <v>127.19353441723865</v>
      </c>
      <c r="G66" s="2">
        <f>$AD66*AF66</f>
        <v>81.841060820939873</v>
      </c>
      <c r="H66" s="2">
        <f>$AD66*AG66</f>
        <v>24.218759871685577</v>
      </c>
      <c r="I66" s="2">
        <f>$AD66*AH66</f>
        <v>4.0144429241854462</v>
      </c>
      <c r="J66" s="2">
        <f>$E66*AI66</f>
        <v>17.199999999999942</v>
      </c>
      <c r="K66" s="2">
        <f>$E66*AJ66</f>
        <v>76.926678141135739</v>
      </c>
      <c r="L66" s="2">
        <f>$E66*AK66</f>
        <v>67.999999999999844</v>
      </c>
      <c r="M66" s="2">
        <f>$E66*(AB66/100)</f>
        <v>69.746127370560004</v>
      </c>
      <c r="N66" s="2">
        <f>$E66*AL66</f>
        <v>1.2999999999999843</v>
      </c>
      <c r="O66" s="2">
        <f>$E66*(AA66/100)</f>
        <v>132.84681585210001</v>
      </c>
      <c r="P66" s="2">
        <f>$E66*AM66</f>
        <v>10.066398713826327</v>
      </c>
      <c r="Q66" s="2">
        <f>$E66*AN66</f>
        <v>2.999999999999968</v>
      </c>
      <c r="R66" s="2">
        <f>$E66*AQ66</f>
        <v>0.98167202572344481</v>
      </c>
      <c r="S66" s="2">
        <f>$E66*AO66</f>
        <v>8.0302925989672733</v>
      </c>
      <c r="T66" s="2">
        <f>$E66*AP66</f>
        <v>2.0075731497418183</v>
      </c>
      <c r="U66" s="2">
        <f>S66-T66</f>
        <v>6.0227194492254554</v>
      </c>
      <c r="V66" s="1">
        <f>F66/D66</f>
        <v>0.24497710532944511</v>
      </c>
      <c r="W66" s="1">
        <f>(F66+M66+N66+P66)/(D66+M66+N66+Q66)</f>
        <v>0.35112580377328056</v>
      </c>
      <c r="X66" s="1">
        <f>(G66+H66*2+I66*3+J66*4)/D66</f>
        <v>0.4066247113733919</v>
      </c>
      <c r="Y66" s="1">
        <f>W66+X66</f>
        <v>0.75775051514667247</v>
      </c>
      <c r="Z66">
        <v>0.29555522919999999</v>
      </c>
      <c r="AA66">
        <v>22.030981069999999</v>
      </c>
      <c r="AB66">
        <v>11.566521952</v>
      </c>
      <c r="AD66" s="2">
        <f>(D66-O66-J66+Q66)*Z66</f>
        <v>109.99353441723871</v>
      </c>
      <c r="AE66">
        <v>0.212743084</v>
      </c>
      <c r="AF66">
        <v>0.74405337781484504</v>
      </c>
      <c r="AG66">
        <v>0.22018348623853201</v>
      </c>
      <c r="AH66">
        <v>3.6497080900750503E-2</v>
      </c>
      <c r="AI66">
        <v>2.8524046434494101E-2</v>
      </c>
      <c r="AJ66">
        <v>0.12757326391564799</v>
      </c>
      <c r="AK66">
        <v>0.112769485903814</v>
      </c>
      <c r="AL66">
        <v>2.1558872305140701E-3</v>
      </c>
      <c r="AM66">
        <v>1.6693861880309E-2</v>
      </c>
      <c r="AN66">
        <v>4.9751243781093997E-3</v>
      </c>
      <c r="AO66">
        <v>1.3317234824158E-2</v>
      </c>
      <c r="AP66">
        <v>3.3293087060394999E-3</v>
      </c>
      <c r="AQ66">
        <v>1.6279801421616E-3</v>
      </c>
    </row>
    <row r="67" spans="1:43" x14ac:dyDescent="0.4">
      <c r="A67" t="s">
        <v>49</v>
      </c>
      <c r="B67" s="3" t="s">
        <v>57</v>
      </c>
      <c r="C67" s="4">
        <f>K67*1.9+G67*2.6+H67*5.2+I67*7.8+J67*10.4+L67*1.9+S67*4.2+M67*2.6+P67*2.6</f>
        <v>1061.2116807553059</v>
      </c>
      <c r="D67" s="2">
        <f>E67-M67-P67-Q67-R67</f>
        <v>518.06612921370663</v>
      </c>
      <c r="E67">
        <v>568</v>
      </c>
      <c r="F67" s="2">
        <f>AD67+J67</f>
        <v>135.82069702935971</v>
      </c>
      <c r="G67" s="2">
        <f>$AD67*AF67</f>
        <v>81.255302564403038</v>
      </c>
      <c r="H67" s="2">
        <f>$AD67*AG67</f>
        <v>27.639609796684809</v>
      </c>
      <c r="I67" s="2">
        <f>$AD67*AH67</f>
        <v>3.5542159279148571</v>
      </c>
      <c r="J67" s="2">
        <f>$E67*AI67</f>
        <v>23.288</v>
      </c>
      <c r="K67" s="2">
        <f>$E67*AJ67</f>
        <v>72.206540447503869</v>
      </c>
      <c r="L67" s="2">
        <f>$E67*AK67</f>
        <v>73.84</v>
      </c>
      <c r="M67" s="2">
        <f>$E67*(AB67/100)</f>
        <v>38.110499138783993</v>
      </c>
      <c r="N67" s="2">
        <f>$E67*AL67</f>
        <v>0.89999999999995395</v>
      </c>
      <c r="O67" s="2">
        <f>$E67*(AA67/100)</f>
        <v>128.06884683920001</v>
      </c>
      <c r="P67" s="2">
        <f>$E67*AM67</f>
        <v>7.1704980842911432</v>
      </c>
      <c r="Q67" s="2">
        <f>$E67*AN67</f>
        <v>3.5999999999999632</v>
      </c>
      <c r="R67" s="2">
        <f>$E67*AQ67</f>
        <v>1.0528735632183579</v>
      </c>
      <c r="S67" s="2">
        <f>$E67*AO67</f>
        <v>9.7820998278829254</v>
      </c>
      <c r="T67" s="2">
        <f>$E67*AP67</f>
        <v>1.9955249569706943</v>
      </c>
      <c r="U67" s="2">
        <f>S67-T67</f>
        <v>7.7865748709122311</v>
      </c>
      <c r="V67" s="1">
        <f>F67/D67</f>
        <v>0.26216864869259293</v>
      </c>
      <c r="W67" s="1">
        <f>(F67+M67+N67+P67)/(D67+M67+N67+Q67)</f>
        <v>0.3246108095984564</v>
      </c>
      <c r="X67" s="1">
        <f>(G67+H67*2+I67*3+J67*4)/D67</f>
        <v>0.46393530939053379</v>
      </c>
      <c r="Y67" s="1">
        <f>W67+X67</f>
        <v>0.78854611898899019</v>
      </c>
      <c r="Z67">
        <v>0.30388840459999999</v>
      </c>
      <c r="AA67">
        <v>22.547332189999999</v>
      </c>
      <c r="AB67">
        <v>6.7095949187999997</v>
      </c>
      <c r="AD67" s="2">
        <f>(D67-O67-J67+Q67)*Z67</f>
        <v>112.53269702935971</v>
      </c>
      <c r="AE67">
        <v>0.23912999300000001</v>
      </c>
      <c r="AF67">
        <v>0.72205949656750501</v>
      </c>
      <c r="AG67">
        <v>0.24561403508771901</v>
      </c>
      <c r="AH67">
        <v>3.1583850931676899E-2</v>
      </c>
      <c r="AI67">
        <v>4.1000000000000002E-2</v>
      </c>
      <c r="AJ67">
        <v>0.127124190928704</v>
      </c>
      <c r="AK67">
        <v>0.13</v>
      </c>
      <c r="AL67">
        <v>1.5845070422534401E-3</v>
      </c>
      <c r="AM67">
        <v>1.2624116345582999E-2</v>
      </c>
      <c r="AN67">
        <v>6.3380281690140197E-3</v>
      </c>
      <c r="AO67">
        <v>1.7222006739230501E-2</v>
      </c>
      <c r="AP67">
        <v>3.5132481636807999E-3</v>
      </c>
      <c r="AQ67">
        <v>1.8536506394689399E-3</v>
      </c>
    </row>
    <row r="68" spans="1:43" x14ac:dyDescent="0.4">
      <c r="A68" t="s">
        <v>189</v>
      </c>
      <c r="B68" t="s">
        <v>197</v>
      </c>
      <c r="C68" s="4">
        <f>K68*1.9+G68*2.6+H68*5.2+I68*7.8+J68*10.4+L68*1.9+S68*4.2+M68*2.6+P68*2.6</f>
        <v>1058.8314726572528</v>
      </c>
      <c r="D68" s="2">
        <f>E68-M68-P68-Q68-R68</f>
        <v>571.56817468106635</v>
      </c>
      <c r="E68">
        <v>621</v>
      </c>
      <c r="F68" s="2">
        <f>AD68+J68</f>
        <v>144.08574951854501</v>
      </c>
      <c r="G68" s="2">
        <f>$AD68*AF68</f>
        <v>92.317946340064267</v>
      </c>
      <c r="H68" s="2">
        <f>$AD68*AG68</f>
        <v>29.875584560938218</v>
      </c>
      <c r="I68" s="2">
        <f>$AD68*AH68</f>
        <v>1.9886225418401129</v>
      </c>
      <c r="J68" s="2">
        <f>$E68*AI68</f>
        <v>20.599999999999984</v>
      </c>
      <c r="K68" s="2">
        <f>$E68*AJ68</f>
        <v>71.684772370486613</v>
      </c>
      <c r="L68" s="2">
        <f>$E68*AK68</f>
        <v>81.999999999999574</v>
      </c>
      <c r="M68" s="2">
        <f>$E68*(AB68/100)</f>
        <v>38.804552591660936</v>
      </c>
      <c r="N68" s="2">
        <f>$E68*AL68</f>
        <v>1.0949764521192833</v>
      </c>
      <c r="O68" s="2">
        <f>$E68*(AA68/100)</f>
        <v>144.28257457950002</v>
      </c>
      <c r="P68" s="2">
        <f>$E68*AM68</f>
        <v>6.0272727272726883</v>
      </c>
      <c r="Q68" s="2">
        <f>$E68*AN68</f>
        <v>4.5999999999999703</v>
      </c>
      <c r="R68" s="2">
        <f>$E68*AQ68</f>
        <v>0</v>
      </c>
      <c r="S68" s="2">
        <f>$E68*AO68</f>
        <v>5.9849293563578865</v>
      </c>
      <c r="T68" s="2">
        <f>$E68*AP68</f>
        <v>1.8974882260596007</v>
      </c>
      <c r="U68" s="2">
        <f>S68-T68</f>
        <v>4.087441130298286</v>
      </c>
      <c r="V68" s="1">
        <f>F68/D68</f>
        <v>0.25208847500815545</v>
      </c>
      <c r="W68" s="1">
        <f>(F68+M68+N68+P68)/(D68+M68+N68+Q68)</f>
        <v>0.3084280350045146</v>
      </c>
      <c r="X68" s="1">
        <f>(G68+H68*2+I68*3+J68*4)/D68</f>
        <v>0.42065845114910938</v>
      </c>
      <c r="Y68" s="1">
        <f>W68+X68</f>
        <v>0.72908648615362392</v>
      </c>
      <c r="Z68">
        <v>0.30024330900000001</v>
      </c>
      <c r="AA68">
        <v>23.23390895</v>
      </c>
      <c r="AB68">
        <v>6.2487202240999897</v>
      </c>
      <c r="AD68" s="2">
        <f>(D68-O68-J68+Q68)*Z68</f>
        <v>123.48574951854502</v>
      </c>
      <c r="AE68">
        <v>0.233639291</v>
      </c>
      <c r="AF68">
        <v>0.74760000000000004</v>
      </c>
      <c r="AG68">
        <v>0.241935483870967</v>
      </c>
      <c r="AH68">
        <v>1.61040650406504E-2</v>
      </c>
      <c r="AI68">
        <v>3.3172302737520101E-2</v>
      </c>
      <c r="AJ68">
        <v>0.11543441605553401</v>
      </c>
      <c r="AK68">
        <v>0.13204508856682701</v>
      </c>
      <c r="AL68">
        <v>1.7632471048619699E-3</v>
      </c>
      <c r="AM68">
        <v>9.7057531840139908E-3</v>
      </c>
      <c r="AN68">
        <v>7.40740740740736E-3</v>
      </c>
      <c r="AO68">
        <v>9.6375674015424899E-3</v>
      </c>
      <c r="AP68">
        <v>3.0555365959091798E-3</v>
      </c>
      <c r="AQ68">
        <v>0</v>
      </c>
    </row>
    <row r="69" spans="1:43" x14ac:dyDescent="0.4">
      <c r="A69" t="s">
        <v>49</v>
      </c>
      <c r="B69" t="s">
        <v>50</v>
      </c>
      <c r="C69" s="4">
        <f>K69*1.9+G69*2.6+H69*5.2+I69*7.8+J69*10.4+L69*1.9+S69*4.2+M69*2.6+P69*2.6</f>
        <v>1058.6156777325002</v>
      </c>
      <c r="D69" s="2">
        <f>E69-M69-P69-Q69-R69</f>
        <v>536.47828788181914</v>
      </c>
      <c r="E69">
        <v>613</v>
      </c>
      <c r="F69" s="2">
        <f>AD69+J69</f>
        <v>138.98048337495032</v>
      </c>
      <c r="G69" s="2">
        <f>$AD69*AF69</f>
        <v>91.09526691765906</v>
      </c>
      <c r="H69" s="2">
        <f>$AD69*AG69</f>
        <v>26.170525779400901</v>
      </c>
      <c r="I69" s="2">
        <f>$AD69*AH69</f>
        <v>1.4075898611293447</v>
      </c>
      <c r="J69" s="2">
        <f>$E69*AI69</f>
        <v>19.19999999999996</v>
      </c>
      <c r="K69" s="2">
        <f>$E69*AJ69</f>
        <v>75.245733788395427</v>
      </c>
      <c r="L69" s="2">
        <f>$E69*AK69</f>
        <v>72.999999999999744</v>
      </c>
      <c r="M69" s="2">
        <f>$E69*(AB69/100)</f>
        <v>66.304095537870012</v>
      </c>
      <c r="N69" s="2">
        <f>$E69*AL69</f>
        <v>3.0138225255972357</v>
      </c>
      <c r="O69" s="2">
        <f>$E69*(AA69/100)</f>
        <v>96.238907830999992</v>
      </c>
      <c r="P69" s="2">
        <f>$E69*AM69</f>
        <v>4.8176165803108466</v>
      </c>
      <c r="Q69" s="2">
        <f>$E69*AN69</f>
        <v>4.9999999999999662</v>
      </c>
      <c r="R69" s="2">
        <f>$E69*AQ69</f>
        <v>0.39999999999998753</v>
      </c>
      <c r="S69" s="2">
        <f>$E69*AO69</f>
        <v>2.0092150170648422</v>
      </c>
      <c r="T69" s="2">
        <f>$E69*AP69</f>
        <v>0</v>
      </c>
      <c r="U69" s="2">
        <f>S69-T69</f>
        <v>2.0092150170648422</v>
      </c>
      <c r="V69" s="1">
        <f>F69/D69</f>
        <v>0.25906077937224248</v>
      </c>
      <c r="W69" s="1">
        <f>(F69+M69+N69+P69)/(D69+M69+N69+Q69)</f>
        <v>0.34891509793991554</v>
      </c>
      <c r="X69" s="1">
        <f>(G69+H69*2+I69*3+J69*4)/D69</f>
        <v>0.41839361094385025</v>
      </c>
      <c r="Y69" s="1">
        <f>W69+X69</f>
        <v>0.76730870888376579</v>
      </c>
      <c r="Z69">
        <v>0.28114885379999999</v>
      </c>
      <c r="AA69">
        <v>15.699658700000001</v>
      </c>
      <c r="AB69">
        <v>10.816328799000001</v>
      </c>
      <c r="AD69" s="2">
        <f>(D69-O69-J69+Q69)*Z69</f>
        <v>119.78048337495038</v>
      </c>
      <c r="AE69">
        <v>0.22466023900000001</v>
      </c>
      <c r="AF69">
        <v>0.76051844466600105</v>
      </c>
      <c r="AG69">
        <v>0.218487394957983</v>
      </c>
      <c r="AH69">
        <v>1.17514124293784E-2</v>
      </c>
      <c r="AI69">
        <v>3.1321370309950997E-2</v>
      </c>
      <c r="AJ69">
        <v>0.122749973553663</v>
      </c>
      <c r="AK69">
        <v>0.119086460032626</v>
      </c>
      <c r="AL69">
        <v>4.9165130923282804E-3</v>
      </c>
      <c r="AM69">
        <v>7.8590808814206301E-3</v>
      </c>
      <c r="AN69">
        <v>8.1566068515497008E-3</v>
      </c>
      <c r="AO69">
        <v>3.2776753948855499E-3</v>
      </c>
      <c r="AP69">
        <v>0</v>
      </c>
      <c r="AQ69">
        <v>6.5252854812396005E-4</v>
      </c>
    </row>
    <row r="70" spans="1:43" x14ac:dyDescent="0.4">
      <c r="A70" t="s">
        <v>61</v>
      </c>
      <c r="B70" t="s">
        <v>70</v>
      </c>
      <c r="C70" s="4">
        <f>K70*1.9+G70*2.6+H70*5.2+I70*7.8+J70*10.4+L70*1.9+S70*4.2+M70*2.6+P70*2.6</f>
        <v>1056.9093738631625</v>
      </c>
      <c r="D70" s="2">
        <f>E70-M70-P70-Q70-R70</f>
        <v>500.44105228321541</v>
      </c>
      <c r="E70">
        <v>578</v>
      </c>
      <c r="F70" s="2">
        <f>AD70+J70</f>
        <v>119.11048608469373</v>
      </c>
      <c r="G70" s="2">
        <f>$AD70*AF70</f>
        <v>69.1144931325572</v>
      </c>
      <c r="H70" s="2">
        <f>$AD70*AG70</f>
        <v>23.577621521173445</v>
      </c>
      <c r="I70" s="2">
        <f>$AD70*AH70</f>
        <v>1.9981572191740218</v>
      </c>
      <c r="J70" s="2">
        <f>$E70*AI70</f>
        <v>24.799999999999958</v>
      </c>
      <c r="K70" s="2">
        <f>$E70*AJ70</f>
        <v>70.982059800664103</v>
      </c>
      <c r="L70" s="2">
        <f>$E70*AK70</f>
        <v>77.999999999999915</v>
      </c>
      <c r="M70" s="2">
        <f>$E70*(AB70/100)</f>
        <v>70.681063101399999</v>
      </c>
      <c r="N70" s="2">
        <f>$E70*AL70</f>
        <v>4.5800664451826787</v>
      </c>
      <c r="O70" s="2">
        <f>$E70*(AA70/100)</f>
        <v>151.7009967004</v>
      </c>
      <c r="P70" s="2">
        <f>$E70*AM70</f>
        <v>3.8778846153845659</v>
      </c>
      <c r="Q70" s="2">
        <f>$E70*AN70</f>
        <v>2.999999999999988</v>
      </c>
      <c r="R70" s="2">
        <f>$E70*AQ70</f>
        <v>0</v>
      </c>
      <c r="S70" s="2">
        <f>$E70*AO70</f>
        <v>0.99601328903650577</v>
      </c>
      <c r="T70" s="2">
        <f>$E70*AP70</f>
        <v>0</v>
      </c>
      <c r="U70" s="2">
        <f>S70-T70</f>
        <v>0.99601328903650577</v>
      </c>
      <c r="V70" s="1">
        <f>F70/D70</f>
        <v>0.23801102156040815</v>
      </c>
      <c r="W70" s="1">
        <f>(F70+M70+N70+P70)/(D70+M70+N70+Q70)</f>
        <v>0.34257603733204528</v>
      </c>
      <c r="X70" s="1">
        <f>(G70+H70*2+I70*3+J70*4)/D70</f>
        <v>0.44253805082939596</v>
      </c>
      <c r="Y70" s="1">
        <f>W70+X70</f>
        <v>0.78511408816144124</v>
      </c>
      <c r="Z70">
        <v>0.28846415260000002</v>
      </c>
      <c r="AA70">
        <v>26.245847179999998</v>
      </c>
      <c r="AB70">
        <v>12.228557629999999</v>
      </c>
      <c r="AD70" s="2">
        <f>(D70-O70-J70+Q70)*Z70</f>
        <v>94.310486084693778</v>
      </c>
      <c r="AE70">
        <v>0.206142884</v>
      </c>
      <c r="AF70">
        <v>0.73283996299722398</v>
      </c>
      <c r="AG70">
        <v>0.25</v>
      </c>
      <c r="AH70">
        <v>2.11870100783874E-2</v>
      </c>
      <c r="AI70">
        <v>4.2906574394463597E-2</v>
      </c>
      <c r="AJ70">
        <v>0.122806331835059</v>
      </c>
      <c r="AK70">
        <v>0.134948096885813</v>
      </c>
      <c r="AL70">
        <v>7.9239903895894099E-3</v>
      </c>
      <c r="AM70">
        <v>6.7091429331912903E-3</v>
      </c>
      <c r="AN70">
        <v>5.1903114186851E-3</v>
      </c>
      <c r="AO70">
        <v>1.7232063824161E-3</v>
      </c>
      <c r="AP70">
        <v>0</v>
      </c>
      <c r="AQ70">
        <v>0</v>
      </c>
    </row>
    <row r="71" spans="1:43" x14ac:dyDescent="0.4">
      <c r="A71" t="s">
        <v>248</v>
      </c>
      <c r="B71" t="s">
        <v>252</v>
      </c>
      <c r="C71" s="4">
        <f>K71*1.9+G71*2.6+H71*5.2+I71*7.8+J71*10.4+L71*1.9+S71*4.2+M71*2.6+P71*2.6</f>
        <v>1056.9088573598281</v>
      </c>
      <c r="D71" s="2">
        <f>E71-M71-P71-Q71-R71</f>
        <v>531.76311411097197</v>
      </c>
      <c r="E71">
        <v>582</v>
      </c>
      <c r="F71" s="2">
        <f>AD71+J71</f>
        <v>128.2272172814659</v>
      </c>
      <c r="G71" s="2">
        <f>$AD71*AF71</f>
        <v>72.282695571181918</v>
      </c>
      <c r="H71" s="2">
        <f>$AD71*AG71</f>
        <v>23.764173886415943</v>
      </c>
      <c r="I71" s="2">
        <f>$AD71*AH71</f>
        <v>1.9884308762103102</v>
      </c>
      <c r="J71" s="2">
        <f>$E71*AI71</f>
        <v>30.19999999999996</v>
      </c>
      <c r="K71" s="2">
        <f>$E71*AJ71</f>
        <v>71.716233766233202</v>
      </c>
      <c r="L71" s="2">
        <f>$E71*AK71</f>
        <v>82</v>
      </c>
      <c r="M71" s="2">
        <f>$E71*(AB71/100)</f>
        <v>36.701298700415997</v>
      </c>
      <c r="N71" s="2">
        <f>$E71*AL71</f>
        <v>0.99448051948048932</v>
      </c>
      <c r="O71" s="2">
        <f>$E71*(AA71/100)</f>
        <v>155.8928571678</v>
      </c>
      <c r="P71" s="2">
        <f>$E71*AM71</f>
        <v>9.135587188612007</v>
      </c>
      <c r="Q71" s="2">
        <f>$E71*AN71</f>
        <v>3.9999999999999498</v>
      </c>
      <c r="R71" s="2">
        <f>$E71*AQ71</f>
        <v>0.39999999999998975</v>
      </c>
      <c r="S71" s="2">
        <f>$E71*AO71</f>
        <v>1.0889610389610132</v>
      </c>
      <c r="T71" s="2">
        <f>$E71*AP71</f>
        <v>0.9944805194804951</v>
      </c>
      <c r="U71" s="2">
        <f>S71-T71</f>
        <v>9.4480519480518055E-2</v>
      </c>
      <c r="V71" s="1">
        <f>F71/D71</f>
        <v>0.24113597554776348</v>
      </c>
      <c r="W71" s="1">
        <f>(F71+M71+N71+P71)/(D71+M71+N71+Q71)</f>
        <v>0.30526788532856686</v>
      </c>
      <c r="X71" s="1">
        <f>(G71+H71*2+I71*3+J71*4)/D71</f>
        <v>0.46369582513236779</v>
      </c>
      <c r="Y71" s="1">
        <f>W71+X71</f>
        <v>0.76896371046093459</v>
      </c>
      <c r="Z71">
        <v>0.2803418802</v>
      </c>
      <c r="AA71">
        <v>26.785714290000001</v>
      </c>
      <c r="AB71">
        <v>6.3060650687999997</v>
      </c>
      <c r="AD71" s="2">
        <f>(D71-O71-J71+Q71)*Z71</f>
        <v>98.027217281465937</v>
      </c>
      <c r="AE71">
        <v>0.22258097499999999</v>
      </c>
      <c r="AF71">
        <v>0.73737373737373701</v>
      </c>
      <c r="AG71">
        <v>0.24242424242424199</v>
      </c>
      <c r="AH71">
        <v>2.02844774273345E-2</v>
      </c>
      <c r="AI71">
        <v>5.1890034364261102E-2</v>
      </c>
      <c r="AJ71">
        <v>0.123223769357789</v>
      </c>
      <c r="AK71">
        <v>0.14089347079037801</v>
      </c>
      <c r="AL71">
        <v>1.7087294149149301E-3</v>
      </c>
      <c r="AM71">
        <v>1.5696885203800699E-2</v>
      </c>
      <c r="AN71">
        <v>6.8728522336768899E-3</v>
      </c>
      <c r="AO71">
        <v>1.8710670772526001E-3</v>
      </c>
      <c r="AP71">
        <v>1.7087294149149401E-3</v>
      </c>
      <c r="AQ71">
        <v>6.8728522336767997E-4</v>
      </c>
    </row>
    <row r="72" spans="1:43" x14ac:dyDescent="0.4">
      <c r="A72" t="s">
        <v>180</v>
      </c>
      <c r="B72" t="s">
        <v>188</v>
      </c>
      <c r="C72" s="4">
        <f>K72*1.9+G72*2.6+H72*5.2+I72*7.8+J72*10.4+L72*1.9+S72*4.2+M72*2.6+P72*2.6</f>
        <v>1056.4775352538954</v>
      </c>
      <c r="D72" s="2">
        <f>E72-M72-P72-Q72-R72</f>
        <v>547.55688825568973</v>
      </c>
      <c r="E72">
        <v>609</v>
      </c>
      <c r="F72" s="2">
        <f>AD72+J72</f>
        <v>131.90714015304945</v>
      </c>
      <c r="G72" s="2">
        <f>$AD72*AF72</f>
        <v>82.865757156256436</v>
      </c>
      <c r="H72" s="2">
        <f>$AD72*AG72</f>
        <v>24.751622762056673</v>
      </c>
      <c r="I72" s="2">
        <f>$AD72*AH72</f>
        <v>0.98471320826344044</v>
      </c>
      <c r="J72" s="2">
        <f>$E72*AI72</f>
        <v>22.999999999999972</v>
      </c>
      <c r="K72" s="2">
        <f>$E72*AJ72</f>
        <v>73.542857142856704</v>
      </c>
      <c r="L72" s="2">
        <f>$E72*AK72</f>
        <v>74.999999999999446</v>
      </c>
      <c r="M72" s="2">
        <f>$E72*(AB72/100)</f>
        <v>54.431868132726009</v>
      </c>
      <c r="N72" s="2">
        <f>$E72*AL72</f>
        <v>1.5912087912087456</v>
      </c>
      <c r="O72" s="2">
        <f>$E72*(AA72/100)</f>
        <v>159.65934064499999</v>
      </c>
      <c r="P72" s="2">
        <f>$E72*AM72</f>
        <v>3.0112436115843013</v>
      </c>
      <c r="Q72" s="2">
        <f>$E72*AN72</f>
        <v>3.9999999999999503</v>
      </c>
      <c r="R72" s="2">
        <f>$E72*AQ72</f>
        <v>0</v>
      </c>
      <c r="S72" s="2">
        <f>$E72*AO72</f>
        <v>8.0604395604394767</v>
      </c>
      <c r="T72" s="2">
        <f>$E72*AP72</f>
        <v>1.8956043956043422</v>
      </c>
      <c r="U72" s="2">
        <f>S72-T72</f>
        <v>6.1648351648351341</v>
      </c>
      <c r="V72" s="1">
        <f>F72/D72</f>
        <v>0.24090125242192822</v>
      </c>
      <c r="W72" s="1">
        <f>(F72+M72+N72+P72)/(D72+M72+N72+Q72)</f>
        <v>0.31426556442182674</v>
      </c>
      <c r="X72" s="1">
        <f>(G72+H72*2+I72*3+J72*4)/D72</f>
        <v>0.41515894910814838</v>
      </c>
      <c r="Y72" s="1">
        <f>W72+X72</f>
        <v>0.72942451352997506</v>
      </c>
      <c r="Z72">
        <v>0.2952232696</v>
      </c>
      <c r="AA72">
        <v>26.2166405</v>
      </c>
      <c r="AB72">
        <v>8.9379093814000008</v>
      </c>
      <c r="AD72" s="2">
        <f>(D72-O72-J72+Q72)*Z72</f>
        <v>108.9071401530495</v>
      </c>
      <c r="AE72">
        <v>0.22130677200000001</v>
      </c>
      <c r="AF72">
        <v>0.76088452088452097</v>
      </c>
      <c r="AG72">
        <v>0.22727272727272699</v>
      </c>
      <c r="AH72">
        <v>9.0417690417689996E-3</v>
      </c>
      <c r="AI72">
        <v>3.77668308702791E-2</v>
      </c>
      <c r="AJ72">
        <v>0.12076002814919</v>
      </c>
      <c r="AK72">
        <v>0.123152709359605</v>
      </c>
      <c r="AL72">
        <v>2.6128223172557398E-3</v>
      </c>
      <c r="AM72">
        <v>4.9445707907788197E-3</v>
      </c>
      <c r="AN72">
        <v>6.5681444991789002E-3</v>
      </c>
      <c r="AO72">
        <v>1.32355329399663E-2</v>
      </c>
      <c r="AP72">
        <v>3.1126508959020398E-3</v>
      </c>
      <c r="AQ72">
        <v>0</v>
      </c>
    </row>
    <row r="73" spans="1:43" x14ac:dyDescent="0.4">
      <c r="A73" t="s">
        <v>94</v>
      </c>
      <c r="B73" t="s">
        <v>100</v>
      </c>
      <c r="C73" s="4">
        <f>K73*1.9+G73*2.6+H73*5.2+I73*7.8+J73*10.4+L73*1.9+S73*4.2+M73*2.6+P73*2.6</f>
        <v>1048.8037928032052</v>
      </c>
      <c r="D73" s="2">
        <f>E73-M73-P73-Q73-R73</f>
        <v>568.77179664075243</v>
      </c>
      <c r="E73">
        <v>640</v>
      </c>
      <c r="F73" s="2">
        <f>AD73+J73</f>
        <v>154.64672204847093</v>
      </c>
      <c r="G73" s="2">
        <f>$AD73*AF73</f>
        <v>117.91785504141386</v>
      </c>
      <c r="H73" s="2">
        <f>$AD73*AG73</f>
        <v>25.937937657163712</v>
      </c>
      <c r="I73" s="2">
        <f>$AD73*AH73</f>
        <v>4.578307116667153</v>
      </c>
      <c r="J73" s="2">
        <f>$E73*AI73</f>
        <v>7</v>
      </c>
      <c r="K73" s="2">
        <f>$E73*AJ73</f>
        <v>81.542857142856946</v>
      </c>
      <c r="L73" s="2">
        <f>$E73*AK73</f>
        <v>55</v>
      </c>
      <c r="M73" s="2">
        <f>$E73*(AB73/100)</f>
        <v>59.576190476800008</v>
      </c>
      <c r="N73" s="2">
        <f>$E73*AL73</f>
        <v>1.3952380952380927</v>
      </c>
      <c r="O73" s="2">
        <f>$E73*(AA73/100)</f>
        <v>62.857142854400003</v>
      </c>
      <c r="P73" s="2">
        <f>$E73*AM73</f>
        <v>5.0152979066022532</v>
      </c>
      <c r="Q73" s="2">
        <f>$E73*AN73</f>
        <v>4.6000000000000005</v>
      </c>
      <c r="R73" s="2">
        <f>$E73*AQ73</f>
        <v>2.036714975845376</v>
      </c>
      <c r="S73" s="2">
        <f>$E73*AO73</f>
        <v>17.014285714285695</v>
      </c>
      <c r="T73" s="2">
        <f>$E73*AP73</f>
        <v>3.9809523809523779</v>
      </c>
      <c r="U73" s="2">
        <f>S73-T73</f>
        <v>13.033333333333317</v>
      </c>
      <c r="V73" s="1">
        <f>F73/D73</f>
        <v>0.2718959044063658</v>
      </c>
      <c r="W73" s="1">
        <f>(F73+M73+N73+P73)/(D73+M73+N73+Q73)</f>
        <v>0.34781399053028389</v>
      </c>
      <c r="X73" s="1">
        <f>(G73+H73*2+I73*3+J73*4)/D73</f>
        <v>0.37190425572270142</v>
      </c>
      <c r="Y73" s="1">
        <f>W73+X73</f>
        <v>0.71971824625298531</v>
      </c>
      <c r="Z73">
        <v>0.29323222459999998</v>
      </c>
      <c r="AA73">
        <v>9.8214285710000002</v>
      </c>
      <c r="AB73">
        <v>9.3087797620000003</v>
      </c>
      <c r="AD73" s="2">
        <f>(D73-O73-J73+Q73)*Z73</f>
        <v>147.64672204847093</v>
      </c>
      <c r="AE73">
        <v>0.24425465800000001</v>
      </c>
      <c r="AF73">
        <v>0.79864864864864804</v>
      </c>
      <c r="AG73">
        <v>0.17567567567567499</v>
      </c>
      <c r="AH73">
        <v>3.1008525303827202E-2</v>
      </c>
      <c r="AI73">
        <v>1.0937499999999999E-2</v>
      </c>
      <c r="AJ73">
        <v>0.12741071428571399</v>
      </c>
      <c r="AK73">
        <v>8.59375E-2</v>
      </c>
      <c r="AL73">
        <v>2.1800595238095199E-3</v>
      </c>
      <c r="AM73">
        <v>7.8364029790660202E-3</v>
      </c>
      <c r="AN73">
        <v>7.1875000000000003E-3</v>
      </c>
      <c r="AO73">
        <v>2.6584821428571399E-2</v>
      </c>
      <c r="AP73">
        <v>6.2202380952380903E-3</v>
      </c>
      <c r="AQ73">
        <v>3.1823671497583999E-3</v>
      </c>
    </row>
    <row r="74" spans="1:43" x14ac:dyDescent="0.4">
      <c r="A74" t="s">
        <v>115</v>
      </c>
      <c r="B74" t="s">
        <v>118</v>
      </c>
      <c r="C74" s="4">
        <f>K74*1.9+G74*2.6+H74*5.2+I74*7.8+J74*10.4+L74*1.9+S74*4.2+M74*2.6+P74*2.6</f>
        <v>1044.0664772269388</v>
      </c>
      <c r="D74" s="2">
        <f>E74-M74-P74-Q74-R74</f>
        <v>586.09253140794772</v>
      </c>
      <c r="E74">
        <v>634</v>
      </c>
      <c r="F74" s="2">
        <f>AD74+J74</f>
        <v>154.17541912073443</v>
      </c>
      <c r="G74" s="2">
        <f>$AD74*AF74</f>
        <v>108.74316094134396</v>
      </c>
      <c r="H74" s="2">
        <f>$AD74*AG74</f>
        <v>28.789270599299972</v>
      </c>
      <c r="I74" s="2">
        <f>$AD74*AH74</f>
        <v>2.022791480568626</v>
      </c>
      <c r="J74" s="2">
        <f>$E74*AI74</f>
        <v>14.199999999999932</v>
      </c>
      <c r="K74" s="2">
        <f>$E74*AJ74</f>
        <v>75.058615611192309</v>
      </c>
      <c r="L74" s="2">
        <f>$E74*AK74</f>
        <v>66.999999999999488</v>
      </c>
      <c r="M74" s="2">
        <f>$E74*(AB74/100)</f>
        <v>31.261413841649997</v>
      </c>
      <c r="N74" s="2">
        <f>$E74*AL74</f>
        <v>0.5933726067746482</v>
      </c>
      <c r="O74" s="2">
        <f>$E74*(AA74/100)</f>
        <v>119.5169366656</v>
      </c>
      <c r="P74" s="2">
        <f>$E74*AM74</f>
        <v>10.020933977455616</v>
      </c>
      <c r="Q74" s="2">
        <f>$E74*AN74</f>
        <v>4.5999999999999615</v>
      </c>
      <c r="R74" s="2">
        <f>$E74*AQ74</f>
        <v>2.0251207729468161</v>
      </c>
      <c r="S74" s="2">
        <f>$E74*AO74</f>
        <v>16.887334315169269</v>
      </c>
      <c r="T74" s="2">
        <f>$E74*AP74</f>
        <v>5.0602356406479618</v>
      </c>
      <c r="U74" s="2">
        <f>S74-T74</f>
        <v>11.827098674521308</v>
      </c>
      <c r="V74" s="1">
        <f>F74/D74</f>
        <v>0.26305644733326444</v>
      </c>
      <c r="W74" s="1">
        <f>(F74+M74+N74+P74)/(D74+M74+N74+Q74)</f>
        <v>0.31491765191709586</v>
      </c>
      <c r="X74" s="1">
        <f>(G74+H74*2+I74*3+J74*4)/D74</f>
        <v>0.3910475979468207</v>
      </c>
      <c r="Y74" s="1">
        <f>W74+X74</f>
        <v>0.70596524986391662</v>
      </c>
      <c r="Z74">
        <v>0.30630830339999998</v>
      </c>
      <c r="AA74">
        <v>18.85125184</v>
      </c>
      <c r="AB74">
        <v>4.9308223724999998</v>
      </c>
      <c r="AD74" s="2">
        <f>(D74-O74-J74+Q74)*Z74</f>
        <v>139.9754191207345</v>
      </c>
      <c r="AE74">
        <v>0.241983262</v>
      </c>
      <c r="AF74">
        <v>0.77687326549491198</v>
      </c>
      <c r="AG74">
        <v>0.205673758865248</v>
      </c>
      <c r="AH74">
        <v>1.44510478573662E-2</v>
      </c>
      <c r="AI74">
        <v>2.23974763406939E-2</v>
      </c>
      <c r="AJ74">
        <v>0.118388983613868</v>
      </c>
      <c r="AK74">
        <v>0.10567823343848499</v>
      </c>
      <c r="AL74">
        <v>9.3591893813035996E-4</v>
      </c>
      <c r="AM74">
        <v>1.5805889554346399E-2</v>
      </c>
      <c r="AN74">
        <v>7.2555205047318003E-3</v>
      </c>
      <c r="AO74">
        <v>2.6636173998689699E-2</v>
      </c>
      <c r="AP74">
        <v>7.9814442281513596E-3</v>
      </c>
      <c r="AQ74">
        <v>3.1941968027552302E-3</v>
      </c>
    </row>
    <row r="75" spans="1:43" x14ac:dyDescent="0.4">
      <c r="A75" t="s">
        <v>239</v>
      </c>
      <c r="B75" t="s">
        <v>247</v>
      </c>
      <c r="C75" s="4">
        <f>K75*1.9+G75*2.6+H75*5.2+I75*7.8+J75*10.4+L75*1.9+S75*4.2+M75*2.6+P75*2.6</f>
        <v>1043.3681772752577</v>
      </c>
      <c r="D75" s="2">
        <f>E75-M75-P75-Q75-R75</f>
        <v>545.30984834343508</v>
      </c>
      <c r="E75">
        <v>613</v>
      </c>
      <c r="F75" s="2">
        <f>AD75+J75</f>
        <v>151.50930173387573</v>
      </c>
      <c r="G75" s="2">
        <f>$AD75*AF75</f>
        <v>105.83069123197009</v>
      </c>
      <c r="H75" s="2">
        <f>$AD75*AG75</f>
        <v>25.361610176870357</v>
      </c>
      <c r="I75" s="2">
        <f>$AD75*AH75</f>
        <v>0.97606524281724805</v>
      </c>
      <c r="J75" s="2">
        <f>$E75*AI75</f>
        <v>17.599999999999977</v>
      </c>
      <c r="K75" s="2">
        <f>$E75*AJ75</f>
        <v>76.394224924012079</v>
      </c>
      <c r="L75" s="2">
        <f>$E75*AK75</f>
        <v>67.999999999999588</v>
      </c>
      <c r="M75" s="2">
        <f>$E75*(AB75/100)</f>
        <v>58.348632221935937</v>
      </c>
      <c r="N75" s="2">
        <f>$E75*AL75</f>
        <v>0.99316109422489129</v>
      </c>
      <c r="O75" s="2">
        <f>$E75*(AA75/100)</f>
        <v>91.297872332599994</v>
      </c>
      <c r="P75" s="2">
        <f>$E75*AM75</f>
        <v>5.9415194346289715</v>
      </c>
      <c r="Q75" s="2">
        <f>$E75*AN75</f>
        <v>2.9999999999999671</v>
      </c>
      <c r="R75" s="2">
        <f>$E75*AQ75</f>
        <v>0.39999999999998753</v>
      </c>
      <c r="S75" s="2">
        <f>$E75*AO75</f>
        <v>0.99316109422489129</v>
      </c>
      <c r="T75" s="2">
        <f>$E75*AP75</f>
        <v>0.99316109422489129</v>
      </c>
      <c r="U75" s="2">
        <f>S75-T75</f>
        <v>0</v>
      </c>
      <c r="V75" s="1">
        <f>F75/D75</f>
        <v>0.27784075822972387</v>
      </c>
      <c r="W75" s="1">
        <f>(F75+M75+N75+P75)/(D75+M75+N75+Q75)</f>
        <v>0.35677121498852443</v>
      </c>
      <c r="X75" s="1">
        <f>(G75+H75*2+I75*3+J75*4)/D75</f>
        <v>0.42156236131166136</v>
      </c>
      <c r="Y75" s="1">
        <f>W75+X75</f>
        <v>0.77833357630018574</v>
      </c>
      <c r="Z75">
        <v>0.30474659100000001</v>
      </c>
      <c r="AA75">
        <v>14.893617020000001</v>
      </c>
      <c r="AB75">
        <v>9.5185370671999898</v>
      </c>
      <c r="AD75" s="2">
        <f>(D75-O75-J75+Q75)*Z75</f>
        <v>133.90930173387576</v>
      </c>
      <c r="AE75">
        <v>0.25076704500000002</v>
      </c>
      <c r="AF75">
        <v>0.79031620553359605</v>
      </c>
      <c r="AG75">
        <v>0.189393939393939</v>
      </c>
      <c r="AH75">
        <v>7.2890025575447197E-3</v>
      </c>
      <c r="AI75">
        <v>2.8711256117455099E-2</v>
      </c>
      <c r="AJ75">
        <v>0.124623531686806</v>
      </c>
      <c r="AK75">
        <v>0.110929853181076</v>
      </c>
      <c r="AL75">
        <v>1.62016491716948E-3</v>
      </c>
      <c r="AM75">
        <v>9.69252762582214E-3</v>
      </c>
      <c r="AN75">
        <v>4.8939641109297998E-3</v>
      </c>
      <c r="AO75">
        <v>1.62016491716948E-3</v>
      </c>
      <c r="AP75">
        <v>1.62016491716948E-3</v>
      </c>
      <c r="AQ75">
        <v>6.5252854812396005E-4</v>
      </c>
    </row>
    <row r="76" spans="1:43" x14ac:dyDescent="0.4">
      <c r="A76" t="s">
        <v>20</v>
      </c>
      <c r="B76" t="s">
        <v>23</v>
      </c>
      <c r="C76" s="4">
        <f>K76*1.9+G76*2.6+H76*5.2+I76*7.8+J76*10.4+L76*1.9+S76*4.2+M76*2.6+P76*2.6</f>
        <v>1042.9513613460986</v>
      </c>
      <c r="D76" s="2">
        <f>E76-M76-P76-Q76-R76</f>
        <v>534.35351128194804</v>
      </c>
      <c r="E76">
        <v>603</v>
      </c>
      <c r="F76" s="2">
        <f>AD76+J76</f>
        <v>124.31596712353496</v>
      </c>
      <c r="G76" s="2">
        <f>$AD76*AF76</f>
        <v>74.190771821693033</v>
      </c>
      <c r="H76" s="2">
        <f>$AD76*AG76</f>
        <v>25.926882625860451</v>
      </c>
      <c r="I76" s="2">
        <f>$AD76*AH76</f>
        <v>1.0011765444755349</v>
      </c>
      <c r="J76" s="2">
        <f>$E76*AI76</f>
        <v>23.599999999999962</v>
      </c>
      <c r="K76" s="2">
        <f>$E76*AJ76</f>
        <v>69.186206896551553</v>
      </c>
      <c r="L76" s="2">
        <f>$E76*AK76</f>
        <v>82.999999999999687</v>
      </c>
      <c r="M76" s="2">
        <f>$E76*(AB76/100)</f>
        <v>54.144827588483999</v>
      </c>
      <c r="N76" s="2">
        <f>$E76*AL76</f>
        <v>0.3999999999999877</v>
      </c>
      <c r="O76" s="2">
        <f>$E76*(AA76/100)</f>
        <v>173.27586204539998</v>
      </c>
      <c r="P76" s="2">
        <f>$E76*AM76</f>
        <v>9.1016611295680256</v>
      </c>
      <c r="Q76" s="2">
        <f>$E76*AN76</f>
        <v>5.3999999999999728</v>
      </c>
      <c r="R76" s="2">
        <f>$E76*AQ76</f>
        <v>0</v>
      </c>
      <c r="S76" s="2">
        <f>$E76*AO76</f>
        <v>1.99802955665024</v>
      </c>
      <c r="T76" s="2">
        <f>$E76*AP76</f>
        <v>0.99901477832509278</v>
      </c>
      <c r="U76" s="2">
        <f>S76-T76</f>
        <v>0.99901477832514718</v>
      </c>
      <c r="V76" s="1">
        <f>F76/D76</f>
        <v>0.23264742253736306</v>
      </c>
      <c r="W76" s="1">
        <f>(F76+M76+N76+P76)/(D76+M76+N76+Q76)</f>
        <v>0.31627625983078211</v>
      </c>
      <c r="X76" s="1">
        <f>(G76+H76*2+I76*3+J76*4)/D76</f>
        <v>0.41816524452281462</v>
      </c>
      <c r="Y76" s="1">
        <f>W76+X76</f>
        <v>0.73444150435359679</v>
      </c>
      <c r="Z76">
        <v>0.29373733559999998</v>
      </c>
      <c r="AA76">
        <v>28.73563218</v>
      </c>
      <c r="AB76">
        <v>8.9792417227999994</v>
      </c>
      <c r="AD76" s="2">
        <f>(D76-O76-J76+Q76)*Z76</f>
        <v>100.71596712353499</v>
      </c>
      <c r="AE76">
        <v>0.20871015300000001</v>
      </c>
      <c r="AF76">
        <v>0.73663366336633596</v>
      </c>
      <c r="AG76">
        <v>0.25742574257425699</v>
      </c>
      <c r="AH76">
        <v>9.9405940594059303E-3</v>
      </c>
      <c r="AI76">
        <v>3.91376451077943E-2</v>
      </c>
      <c r="AJ76">
        <v>0.114736661519986</v>
      </c>
      <c r="AK76">
        <v>0.13764510779436101</v>
      </c>
      <c r="AL76">
        <v>6.6334991708123998E-4</v>
      </c>
      <c r="AM76">
        <v>1.50939653890017E-2</v>
      </c>
      <c r="AN76">
        <v>8.9552238805969703E-3</v>
      </c>
      <c r="AO76">
        <v>3.31348185182461E-3</v>
      </c>
      <c r="AP76">
        <v>1.6567409259122599E-3</v>
      </c>
      <c r="AQ76">
        <v>0</v>
      </c>
    </row>
    <row r="77" spans="1:43" x14ac:dyDescent="0.4">
      <c r="A77" t="s">
        <v>101</v>
      </c>
      <c r="B77" t="s">
        <v>106</v>
      </c>
      <c r="C77" s="4">
        <f>K77*1.9+G77*2.6+H77*5.2+I77*7.8+J77*10.4+L77*1.9+S77*4.2+M77*2.6+P77*2.6</f>
        <v>1042.950183029147</v>
      </c>
      <c r="D77" s="2">
        <f>E77-M77-P77-Q77-R77</f>
        <v>546.16932271318842</v>
      </c>
      <c r="E77">
        <v>620</v>
      </c>
      <c r="F77" s="2">
        <f>AD77+J77</f>
        <v>130.81533712328994</v>
      </c>
      <c r="G77" s="2">
        <f>$AD77*AF77</f>
        <v>83.161017848946472</v>
      </c>
      <c r="H77" s="2">
        <f>$AD77*AG77</f>
        <v>27.052379300259695</v>
      </c>
      <c r="I77" s="2">
        <f>$AD77*AH77</f>
        <v>1.4100027998923164</v>
      </c>
      <c r="J77" s="2">
        <f>$E77*AI77</f>
        <v>19.599999999999966</v>
      </c>
      <c r="K77" s="2">
        <f>$E77*AJ77</f>
        <v>71.215070643641681</v>
      </c>
      <c r="L77" s="2">
        <f>$E77*AK77</f>
        <v>69.999999999999616</v>
      </c>
      <c r="M77" s="2">
        <f>$E77*(AB77/100)</f>
        <v>65.921193093800014</v>
      </c>
      <c r="N77" s="2">
        <f>$E77*AL77</f>
        <v>2.9919937205651141</v>
      </c>
      <c r="O77" s="2">
        <f>$E77*(AA77/100)</f>
        <v>176.16954473999999</v>
      </c>
      <c r="P77" s="2">
        <f>$E77*AM77</f>
        <v>3.9094841930116422</v>
      </c>
      <c r="Q77" s="2">
        <f>$E77*AN77</f>
        <v>3.9999999999999964</v>
      </c>
      <c r="R77" s="2">
        <f>$E77*AQ77</f>
        <v>0</v>
      </c>
      <c r="S77" s="2">
        <f>$E77*AO77</f>
        <v>5.0839874411302635</v>
      </c>
      <c r="T77" s="2">
        <f>$E77*AP77</f>
        <v>3.0893249607535003</v>
      </c>
      <c r="U77" s="2">
        <f>S77-T77</f>
        <v>1.9946624803767632</v>
      </c>
      <c r="V77" s="1">
        <f>F77/D77</f>
        <v>0.23951425260108467</v>
      </c>
      <c r="W77" s="1">
        <f>(F77+M77+N77+P77)/(D77+M77+N77+Q77)</f>
        <v>0.32893516614783863</v>
      </c>
      <c r="X77" s="1">
        <f>(G77+H77*2+I77*3+J77*4)/D77</f>
        <v>0.40261467589716177</v>
      </c>
      <c r="Y77" s="1">
        <f>W77+X77</f>
        <v>0.7315498420450004</v>
      </c>
      <c r="Z77">
        <v>0.313813224599999</v>
      </c>
      <c r="AA77">
        <v>28.414442699999999</v>
      </c>
      <c r="AB77">
        <v>10.632450499000001</v>
      </c>
      <c r="AD77" s="2">
        <f>(D77-O77-J77+Q77)*Z77</f>
        <v>111.21533712328997</v>
      </c>
      <c r="AE77">
        <v>0.21040404300000001</v>
      </c>
      <c r="AF77">
        <v>0.74774774774774699</v>
      </c>
      <c r="AG77">
        <v>0.24324324324324301</v>
      </c>
      <c r="AH77">
        <v>1.26781326781326E-2</v>
      </c>
      <c r="AI77">
        <v>3.1612903225806399E-2</v>
      </c>
      <c r="AJ77">
        <v>0.114863017167164</v>
      </c>
      <c r="AK77">
        <v>0.112903225806451</v>
      </c>
      <c r="AL77">
        <v>4.8257963234921196E-3</v>
      </c>
      <c r="AM77">
        <v>6.3056196661478098E-3</v>
      </c>
      <c r="AN77">
        <v>6.4516129032258004E-3</v>
      </c>
      <c r="AO77">
        <v>8.1999797437584902E-3</v>
      </c>
      <c r="AP77">
        <v>4.9827821947637102E-3</v>
      </c>
      <c r="AQ77">
        <v>0</v>
      </c>
    </row>
    <row r="78" spans="1:43" x14ac:dyDescent="0.4">
      <c r="A78" t="s">
        <v>257</v>
      </c>
      <c r="B78" t="s">
        <v>264</v>
      </c>
      <c r="C78" s="4">
        <f>K78*1.9+G78*2.6+H78*5.2+I78*7.8+J78*10.4+L78*1.9+S78*4.2+M78*2.6+P78*2.6</f>
        <v>1041.0497090587514</v>
      </c>
      <c r="D78" s="2">
        <f>E78-M78-P78-Q78-R78</f>
        <v>537.018088322945</v>
      </c>
      <c r="E78">
        <v>602</v>
      </c>
      <c r="F78" s="2">
        <f>AD78+J78</f>
        <v>130.06250816998664</v>
      </c>
      <c r="G78" s="2">
        <f>$AD78*AF78</f>
        <v>86.624932603127618</v>
      </c>
      <c r="H78" s="2">
        <f>$AD78*AG78</f>
        <v>22.68705918504148</v>
      </c>
      <c r="I78" s="2">
        <f>$AD78*AH78</f>
        <v>2.0156365113786201</v>
      </c>
      <c r="J78" s="2">
        <f>$E78*AI78</f>
        <v>18.599999999999934</v>
      </c>
      <c r="K78" s="2">
        <f>$E78*AJ78</f>
        <v>76.855172413792914</v>
      </c>
      <c r="L78" s="2">
        <f>$E78*AK78</f>
        <v>63.99999999999941</v>
      </c>
      <c r="M78" s="2">
        <f>$E78*(AB78/100)</f>
        <v>54.135632185221993</v>
      </c>
      <c r="N78" s="2">
        <f>$E78*AL78</f>
        <v>0</v>
      </c>
      <c r="O78" s="2">
        <f>$E78*(AA78/100)</f>
        <v>115.65517241319999</v>
      </c>
      <c r="P78" s="2">
        <f>$E78*AM78</f>
        <v>6.8462794918329664</v>
      </c>
      <c r="Q78" s="2">
        <f>$E78*AN78</f>
        <v>3.5999999999999734</v>
      </c>
      <c r="R78" s="2">
        <f>$E78*AQ78</f>
        <v>0.39999999999999702</v>
      </c>
      <c r="S78" s="2">
        <f>$E78*AO78</f>
        <v>14.883908045976916</v>
      </c>
      <c r="T78" s="2">
        <f>$E78*AP78</f>
        <v>2.9965517241379089</v>
      </c>
      <c r="U78" s="2">
        <f>S78-T78</f>
        <v>11.887356321839007</v>
      </c>
      <c r="V78" s="1">
        <f>F78/D78</f>
        <v>0.24219390556500461</v>
      </c>
      <c r="W78" s="1">
        <f>(F78+M78+N78+P78)/(D78+M78+N78+Q78)</f>
        <v>0.32121601472927352</v>
      </c>
      <c r="X78" s="1">
        <f>(G78+H78*2+I78*3+J78*4)/D78</f>
        <v>0.39560298829187324</v>
      </c>
      <c r="Y78" s="1">
        <f>W78+X78</f>
        <v>0.71681900302114676</v>
      </c>
      <c r="Z78">
        <v>0.274293012</v>
      </c>
      <c r="AA78">
        <v>19.211822659999999</v>
      </c>
      <c r="AB78">
        <v>8.9926299310999998</v>
      </c>
      <c r="AD78" s="2">
        <f>(D78-O78-J78+Q78)*Z78</f>
        <v>111.46250816998671</v>
      </c>
      <c r="AE78">
        <v>0.21727197200000001</v>
      </c>
      <c r="AF78">
        <v>0.777166547078051</v>
      </c>
      <c r="AG78">
        <v>0.20353982300884901</v>
      </c>
      <c r="AH78">
        <v>1.8083538083537999E-2</v>
      </c>
      <c r="AI78">
        <v>3.08970099667773E-2</v>
      </c>
      <c r="AJ78">
        <v>0.12766639935846</v>
      </c>
      <c r="AK78">
        <v>0.106312292358803</v>
      </c>
      <c r="AL78">
        <v>0</v>
      </c>
      <c r="AM78">
        <v>1.1372557295403599E-2</v>
      </c>
      <c r="AN78">
        <v>5.9800664451826798E-3</v>
      </c>
      <c r="AO78">
        <v>2.4724099744147701E-2</v>
      </c>
      <c r="AP78">
        <v>4.9776606713254302E-3</v>
      </c>
      <c r="AQ78">
        <v>6.6445182724251997E-4</v>
      </c>
    </row>
    <row r="79" spans="1:43" x14ac:dyDescent="0.4">
      <c r="A79" t="s">
        <v>84</v>
      </c>
      <c r="B79" s="3" t="s">
        <v>89</v>
      </c>
      <c r="C79" s="4">
        <f>K79*1.9+G79*2.6+H79*5.2+I79*7.8+J79*10.4+L79*1.9+S79*4.2+M79*2.6+P79*2.6</f>
        <v>1035.2337500378774</v>
      </c>
      <c r="D79" s="2">
        <f>E79-M79-P79-Q79-R79</f>
        <v>482.1955211015096</v>
      </c>
      <c r="E79">
        <v>540</v>
      </c>
      <c r="F79" s="2">
        <f>AD79+J79</f>
        <v>123.66170655103193</v>
      </c>
      <c r="G79" s="2">
        <f>$AD79*AF79</f>
        <v>74.771029467281366</v>
      </c>
      <c r="H79" s="2">
        <f>$AD79*AG79</f>
        <v>25.456300625252915</v>
      </c>
      <c r="I79" s="2">
        <f>$AD79*AH79</f>
        <v>3.0195088895492184</v>
      </c>
      <c r="J79" s="2">
        <f>$E79*AI79</f>
        <v>19.799999999999912</v>
      </c>
      <c r="K79" s="2">
        <f>$E79*AJ79</f>
        <v>71.582099827882857</v>
      </c>
      <c r="L79" s="2">
        <f>$E79*AK79</f>
        <v>67.999999999999503</v>
      </c>
      <c r="M79" s="2">
        <f>$E79*(AB79/100)</f>
        <v>46.697762480580003</v>
      </c>
      <c r="N79" s="2">
        <f>$E79*AL79</f>
        <v>0.99294320137690617</v>
      </c>
      <c r="O79" s="2">
        <f>$E79*(AA79/100)</f>
        <v>142.20309812400001</v>
      </c>
      <c r="P79" s="2">
        <f>$E79*AM79</f>
        <v>8.1067164179104072</v>
      </c>
      <c r="Q79" s="2">
        <f>$E79*AN79</f>
        <v>2.9999999999999702</v>
      </c>
      <c r="R79" s="2">
        <f>$E79*AQ79</f>
        <v>0</v>
      </c>
      <c r="S79" s="2">
        <f>$E79*AO79</f>
        <v>16.972977624784811</v>
      </c>
      <c r="T79" s="2">
        <f>$E79*AP79</f>
        <v>5.0576592082615814</v>
      </c>
      <c r="U79" s="2">
        <f>S79-T79</f>
        <v>11.915318416523229</v>
      </c>
      <c r="V79" s="1">
        <f>F79/D79</f>
        <v>0.25645552714497161</v>
      </c>
      <c r="W79" s="1">
        <f>(F79+M79+N79+P79)/(D79+M79+N79+Q79)</f>
        <v>0.33676818733733355</v>
      </c>
      <c r="X79" s="1">
        <f>(G79+H79*2+I79*3+J79*4)/D79</f>
        <v>0.44368341891213126</v>
      </c>
      <c r="Y79" s="1">
        <f>W79+X79</f>
        <v>0.78045160624946486</v>
      </c>
      <c r="Z79">
        <v>0.32136182400000002</v>
      </c>
      <c r="AA79">
        <v>26.333907060000001</v>
      </c>
      <c r="AB79">
        <v>8.6477337927000004</v>
      </c>
      <c r="AD79" s="2">
        <f>(D79-O79-J79+Q79)*Z79</f>
        <v>103.86170655103201</v>
      </c>
      <c r="AE79">
        <v>0.228264736</v>
      </c>
      <c r="AF79">
        <v>0.71990950226244299</v>
      </c>
      <c r="AG79">
        <v>0.24509803921568599</v>
      </c>
      <c r="AH79">
        <v>2.90723981900451E-2</v>
      </c>
      <c r="AI79">
        <v>3.66666666666665E-2</v>
      </c>
      <c r="AJ79">
        <v>0.132559444125709</v>
      </c>
      <c r="AK79">
        <v>0.125925925925925</v>
      </c>
      <c r="AL79">
        <v>1.8387837062535299E-3</v>
      </c>
      <c r="AM79">
        <v>1.50124378109452E-2</v>
      </c>
      <c r="AN79">
        <v>5.5555555555555003E-3</v>
      </c>
      <c r="AO79">
        <v>3.1431440045897797E-2</v>
      </c>
      <c r="AP79">
        <v>9.3660355708547801E-3</v>
      </c>
      <c r="AQ79">
        <v>0</v>
      </c>
    </row>
    <row r="80" spans="1:43" x14ac:dyDescent="0.4">
      <c r="A80" t="s">
        <v>214</v>
      </c>
      <c r="B80" t="s">
        <v>215</v>
      </c>
      <c r="C80" s="4">
        <f>K80*1.9+G80*2.6+H80*5.2+I80*7.8+J80*10.4+L80*1.9+S80*4.2+M80*2.6+P80*2.6</f>
        <v>1033.2015369880958</v>
      </c>
      <c r="D80" s="2">
        <f>E80-M80-P80-Q80-R80</f>
        <v>506.175976248312</v>
      </c>
      <c r="E80">
        <v>573</v>
      </c>
      <c r="F80" s="2">
        <f>AD80+J80</f>
        <v>110.61526876474534</v>
      </c>
      <c r="G80" s="2">
        <f>$AD80*AF80</f>
        <v>58.952043773123613</v>
      </c>
      <c r="H80" s="2">
        <f>$AD80*AG80</f>
        <v>22.664198910304982</v>
      </c>
      <c r="I80" s="2">
        <f>$AD80*AH80</f>
        <v>1.0100275334914528</v>
      </c>
      <c r="J80" s="2">
        <f>$E80*AI80</f>
        <v>28.199999999999957</v>
      </c>
      <c r="K80" s="2">
        <f>$E80*AJ80</f>
        <v>66.997602739725977</v>
      </c>
      <c r="L80" s="2">
        <f>$E80*AK80</f>
        <v>82.999999999999886</v>
      </c>
      <c r="M80" s="2">
        <f>$E80*(AB80/100)</f>
        <v>57.890753430326995</v>
      </c>
      <c r="N80" s="2">
        <f>$E80*AL80</f>
        <v>1.9962328767122943</v>
      </c>
      <c r="O80" s="2">
        <f>$E80*(AA80/100)</f>
        <v>156.00513700199997</v>
      </c>
      <c r="P80" s="2">
        <f>$E80*AM80</f>
        <v>4.9332703213610056</v>
      </c>
      <c r="Q80" s="2">
        <f>$E80*AN80</f>
        <v>3.9999999999999845</v>
      </c>
      <c r="R80" s="2">
        <f>$E80*AQ80</f>
        <v>0</v>
      </c>
      <c r="S80" s="2">
        <f>$E80*AO80</f>
        <v>2.9943493150684701</v>
      </c>
      <c r="T80" s="2">
        <f>$E80*AP80</f>
        <v>0.99811643835611852</v>
      </c>
      <c r="U80" s="2">
        <f>S80-T80</f>
        <v>1.9962328767123516</v>
      </c>
      <c r="V80" s="1">
        <f>F80/D80</f>
        <v>0.21853124991155529</v>
      </c>
      <c r="W80" s="1">
        <f>(F80+M80+N80+P80)/(D80+M80+N80+Q80)</f>
        <v>0.30774762950173484</v>
      </c>
      <c r="X80" s="1">
        <f>(G80+H80*2+I80*3+J80*4)/D80</f>
        <v>0.4348498042629928</v>
      </c>
      <c r="Y80" s="1">
        <f>W80+X80</f>
        <v>0.74259743376472764</v>
      </c>
      <c r="Z80">
        <v>0.25283018860000001</v>
      </c>
      <c r="AA80">
        <v>27.2260274</v>
      </c>
      <c r="AB80">
        <v>10.1030983299</v>
      </c>
      <c r="AD80" s="2">
        <f>(D80-O80-J80+Q80)*Z80</f>
        <v>82.415268764745377</v>
      </c>
      <c r="AE80">
        <v>0.19349033400000001</v>
      </c>
      <c r="AF80">
        <v>0.71530487804877996</v>
      </c>
      <c r="AG80">
        <v>0.27500000000000002</v>
      </c>
      <c r="AH80">
        <v>1.2255344775669899E-2</v>
      </c>
      <c r="AI80">
        <v>4.9214659685863797E-2</v>
      </c>
      <c r="AJ80">
        <v>0.11692426307107499</v>
      </c>
      <c r="AK80">
        <v>0.14485165794066299</v>
      </c>
      <c r="AL80">
        <v>3.4838270099690999E-3</v>
      </c>
      <c r="AM80">
        <v>8.6095468086579505E-3</v>
      </c>
      <c r="AN80">
        <v>6.9808027923210902E-3</v>
      </c>
      <c r="AO80">
        <v>5.2257405149536999E-3</v>
      </c>
      <c r="AP80">
        <v>1.7419135049845001E-3</v>
      </c>
      <c r="AQ80">
        <v>0</v>
      </c>
    </row>
    <row r="81" spans="1:43" x14ac:dyDescent="0.4">
      <c r="A81" t="s">
        <v>80</v>
      </c>
      <c r="B81" t="s">
        <v>81</v>
      </c>
      <c r="C81" s="4">
        <f>K81*1.9+G81*2.6+H81*5.2+I81*7.8+J81*10.4+L81*1.9+S81*4.2+M81*2.6+P81*2.6</f>
        <v>1026.7102054498505</v>
      </c>
      <c r="D81" s="2">
        <f>E81-M81-P81-Q81-R81</f>
        <v>547.39691259479162</v>
      </c>
      <c r="E81">
        <v>601</v>
      </c>
      <c r="F81" s="2">
        <f>AD81+J81</f>
        <v>140.25273378327063</v>
      </c>
      <c r="G81" s="2">
        <f>$AD81*AF81</f>
        <v>87.233242742111258</v>
      </c>
      <c r="H81" s="2">
        <f>$AD81*AG81</f>
        <v>28.499796051578933</v>
      </c>
      <c r="I81" s="2">
        <f>$AD81*AH81</f>
        <v>0.99889974207977772</v>
      </c>
      <c r="J81" s="2">
        <f>$E81*AI81</f>
        <v>23.199999999999914</v>
      </c>
      <c r="K81" s="2">
        <f>$E81*AJ81</f>
        <v>65.650324675324185</v>
      </c>
      <c r="L81" s="2">
        <f>$E81*AK81</f>
        <v>76.999999999999588</v>
      </c>
      <c r="M81" s="2">
        <f>$E81*(AB81/100)</f>
        <v>40.097727271205002</v>
      </c>
      <c r="N81" s="2">
        <f>$E81*AL81</f>
        <v>0</v>
      </c>
      <c r="O81" s="2">
        <f>$E81*(AA81/100)</f>
        <v>120.98051948129999</v>
      </c>
      <c r="P81" s="2">
        <f>$E81*AM81</f>
        <v>8.9053601340032813</v>
      </c>
      <c r="Q81" s="2">
        <f>$E81*AN81</f>
        <v>4.5999999999999783</v>
      </c>
      <c r="R81" s="2">
        <f>$E81*AQ81</f>
        <v>0</v>
      </c>
      <c r="S81" s="2">
        <f>$E81*AO81</f>
        <v>0.99756493506492949</v>
      </c>
      <c r="T81" s="2">
        <f>$E81*AP81</f>
        <v>0</v>
      </c>
      <c r="U81" s="2">
        <f>S81-T81</f>
        <v>0.99756493506492949</v>
      </c>
      <c r="V81" s="1">
        <f>F81/D81</f>
        <v>0.2562176193476125</v>
      </c>
      <c r="W81" s="1">
        <f>(F81+M81+N81+P81)/(D81+M81+N81+Q81)</f>
        <v>0.31963778836321072</v>
      </c>
      <c r="X81" s="1">
        <f>(G81+H81*2+I81*3+J81*4)/D81</f>
        <v>0.4384926705810433</v>
      </c>
      <c r="Y81" s="1">
        <f>W81+X81</f>
        <v>0.75813045894425402</v>
      </c>
      <c r="Z81">
        <v>0.28702312060000001</v>
      </c>
      <c r="AA81">
        <v>20.12987013</v>
      </c>
      <c r="AB81">
        <v>6.6718348205</v>
      </c>
      <c r="AD81" s="2">
        <f>(D81-O81-J81+Q81)*Z81</f>
        <v>117.05273378327072</v>
      </c>
      <c r="AE81">
        <v>0.23116129199999999</v>
      </c>
      <c r="AF81">
        <v>0.74524737631184401</v>
      </c>
      <c r="AG81">
        <v>0.24347826086956501</v>
      </c>
      <c r="AH81">
        <v>8.5337583309185502E-3</v>
      </c>
      <c r="AI81">
        <v>3.8602329450914998E-2</v>
      </c>
      <c r="AJ81">
        <v>0.10923514921018999</v>
      </c>
      <c r="AK81">
        <v>0.12811980033277801</v>
      </c>
      <c r="AL81">
        <v>0</v>
      </c>
      <c r="AM81">
        <v>1.48175709384414E-2</v>
      </c>
      <c r="AN81">
        <v>7.6539101497503804E-3</v>
      </c>
      <c r="AO81">
        <v>1.65984182207143E-3</v>
      </c>
      <c r="AP81">
        <v>0</v>
      </c>
      <c r="AQ81">
        <v>0</v>
      </c>
    </row>
    <row r="82" spans="1:43" x14ac:dyDescent="0.4">
      <c r="A82" t="s">
        <v>180</v>
      </c>
      <c r="B82" s="3" t="s">
        <v>182</v>
      </c>
      <c r="C82" s="4">
        <f>K82*1.9+G82*2.6+H82*5.2+I82*7.8+J82*10.4+L82*1.9+S82*4.2+M82*2.6+P82*2.6</f>
        <v>1026.0980004621872</v>
      </c>
      <c r="D82" s="2">
        <f>E82-M82-P82-Q82-R82</f>
        <v>558.28352570327979</v>
      </c>
      <c r="E82">
        <v>615</v>
      </c>
      <c r="F82" s="2">
        <f>AD82+J82</f>
        <v>132.81778444939746</v>
      </c>
      <c r="G82" s="2">
        <f>$AD82*AF82</f>
        <v>87.849284755314599</v>
      </c>
      <c r="H82" s="2">
        <f>$AD82*AG82</f>
        <v>25.70299500565563</v>
      </c>
      <c r="I82" s="2">
        <f>$AD82*AH82</f>
        <v>4.0828045656603091</v>
      </c>
      <c r="J82" s="2">
        <f>$E82*AI82</f>
        <v>13.199999999999976</v>
      </c>
      <c r="K82" s="2">
        <f>$E82*AJ82</f>
        <v>74.706038291605196</v>
      </c>
      <c r="L82" s="2">
        <f>$E82*AK82</f>
        <v>59</v>
      </c>
      <c r="M82" s="2">
        <f>$E82*(AB82/100)</f>
        <v>43.681590575789997</v>
      </c>
      <c r="N82" s="2">
        <f>$E82*AL82</f>
        <v>0.59057437407952595</v>
      </c>
      <c r="O82" s="2">
        <f>$E82*(AA82/100)</f>
        <v>135.8615611125</v>
      </c>
      <c r="P82" s="2">
        <f>$E82*AM82</f>
        <v>7.0627906976743757</v>
      </c>
      <c r="Q82" s="2">
        <f>$E82*AN82</f>
        <v>4.5999999999999952</v>
      </c>
      <c r="R82" s="2">
        <f>$E82*AQ82</f>
        <v>1.372093023255804</v>
      </c>
      <c r="S82" s="2">
        <f>$E82*AO82</f>
        <v>25.936082474226765</v>
      </c>
      <c r="T82" s="2">
        <f>$E82*AP82</f>
        <v>6.0340206185566858</v>
      </c>
      <c r="U82" s="2">
        <f>S82-T82</f>
        <v>19.90206185567008</v>
      </c>
      <c r="V82" s="1">
        <f>F82/D82</f>
        <v>0.23790382186557363</v>
      </c>
      <c r="W82" s="1">
        <f>(F82+M82+N82+P82)/(D82+M82+N82+Q82)</f>
        <v>0.30330398435175432</v>
      </c>
      <c r="X82" s="1">
        <f>(G82+H82*2+I82*3+J82*4)/D82</f>
        <v>0.36594969949407274</v>
      </c>
      <c r="Y82" s="1">
        <f>W82+X82</f>
        <v>0.66925368384582706</v>
      </c>
      <c r="Z82">
        <v>0.28905615139999902</v>
      </c>
      <c r="AA82">
        <v>22.091310750000002</v>
      </c>
      <c r="AB82">
        <v>7.1026976546</v>
      </c>
      <c r="AD82" s="2">
        <f>(D82-O82-J82+Q82)*Z82</f>
        <v>119.61778444939749</v>
      </c>
      <c r="AE82">
        <v>0.21578629199999999</v>
      </c>
      <c r="AF82">
        <v>0.73441658495587603</v>
      </c>
      <c r="AG82">
        <v>0.214876033057851</v>
      </c>
      <c r="AH82">
        <v>3.41320864991232E-2</v>
      </c>
      <c r="AI82">
        <v>2.1463414634146302E-2</v>
      </c>
      <c r="AJ82">
        <v>0.12147323299448</v>
      </c>
      <c r="AK82">
        <v>9.5934959349593493E-2</v>
      </c>
      <c r="AL82">
        <v>9.6028353508866005E-4</v>
      </c>
      <c r="AM82">
        <v>1.1484212516543701E-2</v>
      </c>
      <c r="AN82">
        <v>7.4796747967479597E-3</v>
      </c>
      <c r="AO82">
        <v>4.2172491828010999E-2</v>
      </c>
      <c r="AP82">
        <v>9.8114156399295698E-3</v>
      </c>
      <c r="AQ82">
        <v>2.2310455662695999E-3</v>
      </c>
    </row>
    <row r="83" spans="1:43" x14ac:dyDescent="0.4">
      <c r="A83" t="s">
        <v>206</v>
      </c>
      <c r="B83" t="s">
        <v>213</v>
      </c>
      <c r="C83" s="4">
        <f>K83*1.9+G83*2.6+H83*5.2+I83*7.8+J83*10.4+L83*1.9+S83*4.2+M83*2.6+P83*2.6</f>
        <v>1026.0513043142123</v>
      </c>
      <c r="D83" s="2">
        <f>E83-M83-P83-Q83-R83</f>
        <v>546.18480262480671</v>
      </c>
      <c r="E83">
        <v>602</v>
      </c>
      <c r="F83" s="2">
        <f>AD83+J83</f>
        <v>147.83717901469353</v>
      </c>
      <c r="G83" s="2">
        <f>$AD83*AF83</f>
        <v>103.27353823653458</v>
      </c>
      <c r="H83" s="2">
        <f>$AD83*AG83</f>
        <v>26.990288617181246</v>
      </c>
      <c r="I83" s="2">
        <f>$AD83*AH83</f>
        <v>1.0267842309405024</v>
      </c>
      <c r="J83" s="2">
        <f>$E83*AI83</f>
        <v>15.999999999999941</v>
      </c>
      <c r="K83" s="2">
        <f>$E83*AJ83</f>
        <v>71.504347826086743</v>
      </c>
      <c r="L83" s="2">
        <f>$E83*AK83</f>
        <v>63.99999999999941</v>
      </c>
      <c r="M83" s="2">
        <f>$E83*(AB83/100)</f>
        <v>44.460869566722003</v>
      </c>
      <c r="N83" s="2">
        <f>$E83*AL83</f>
        <v>9.3478260869565177E-2</v>
      </c>
      <c r="O83" s="2">
        <f>$E83*(AA83/100)</f>
        <v>106.565217367</v>
      </c>
      <c r="P83" s="2">
        <f>$E83*AM83</f>
        <v>5.9543278084714109</v>
      </c>
      <c r="Q83" s="2">
        <f>$E83*AN83</f>
        <v>5.3999999999999542</v>
      </c>
      <c r="R83" s="2">
        <f>$E83*AQ83</f>
        <v>0</v>
      </c>
      <c r="S83" s="2">
        <f>$E83*AO83</f>
        <v>12.915217391304273</v>
      </c>
      <c r="T83" s="2">
        <f>$E83*AP83</f>
        <v>2.9804347826086754</v>
      </c>
      <c r="U83" s="2">
        <f>S83-T83</f>
        <v>9.9347826086955973</v>
      </c>
      <c r="V83" s="1">
        <f>F83/D83</f>
        <v>0.27067245061420725</v>
      </c>
      <c r="W83" s="1">
        <f>(F83+M83+N83+P83)/(D83+M83+N83+Q83)</f>
        <v>0.33271737731070972</v>
      </c>
      <c r="X83" s="1">
        <f>(G83+H83*2+I83*3+J83*4)/D83</f>
        <v>0.41072997103843162</v>
      </c>
      <c r="Y83" s="1">
        <f>W83+X83</f>
        <v>0.74344734834914128</v>
      </c>
      <c r="Z83">
        <v>0.30729874239999999</v>
      </c>
      <c r="AA83">
        <v>17.70186335</v>
      </c>
      <c r="AB83">
        <v>7.3855265060999997</v>
      </c>
      <c r="AD83" s="2">
        <f>(D83-O83-J83+Q83)*Z83</f>
        <v>131.83717901469359</v>
      </c>
      <c r="AE83">
        <v>0.23971788999999999</v>
      </c>
      <c r="AF83">
        <v>0.78334153543306995</v>
      </c>
      <c r="AG83">
        <v>0.20472440944881801</v>
      </c>
      <c r="AH83">
        <v>7.7882751937984399E-3</v>
      </c>
      <c r="AI83">
        <v>2.65780730897009E-2</v>
      </c>
      <c r="AJ83">
        <v>0.11877798642207101</v>
      </c>
      <c r="AK83">
        <v>0.106312292358803</v>
      </c>
      <c r="AL83">
        <v>1.5527950310558999E-4</v>
      </c>
      <c r="AM83">
        <v>9.8909099808495195E-3</v>
      </c>
      <c r="AN83">
        <v>8.9700996677740102E-3</v>
      </c>
      <c r="AO83">
        <v>2.14538494872164E-2</v>
      </c>
      <c r="AP83">
        <v>4.9508883432037801E-3</v>
      </c>
      <c r="AQ83">
        <v>0</v>
      </c>
    </row>
    <row r="84" spans="1:43" x14ac:dyDescent="0.4">
      <c r="A84" t="s">
        <v>189</v>
      </c>
      <c r="B84" t="s">
        <v>193</v>
      </c>
      <c r="C84" s="4">
        <f>K84*1.9+G84*2.6+H84*5.2+I84*7.8+J84*10.4+L84*1.9+S84*4.2+M84*2.6+P84*2.6</f>
        <v>1025.7331141789575</v>
      </c>
      <c r="D84" s="2">
        <f>E84-M84-P84-Q84-R84</f>
        <v>534.08412761884631</v>
      </c>
      <c r="E84">
        <v>592</v>
      </c>
      <c r="F84" s="2">
        <f>AD84+J84</f>
        <v>136.26716153294643</v>
      </c>
      <c r="G84" s="2">
        <f>$AD84*AF84</f>
        <v>95.148559553097257</v>
      </c>
      <c r="H84" s="2">
        <f>$AD84*AG84</f>
        <v>24.853432306589298</v>
      </c>
      <c r="I84" s="2">
        <f>$AD84*AH84</f>
        <v>3.0064635854745023</v>
      </c>
      <c r="J84" s="2">
        <f>$E84*AI84</f>
        <v>11.999999999999957</v>
      </c>
      <c r="K84" s="2">
        <f>$E84*AJ84</f>
        <v>71.758525345621933</v>
      </c>
      <c r="L84" s="2">
        <f>$E84*AK84</f>
        <v>58.999999999999964</v>
      </c>
      <c r="M84" s="2">
        <f>$E84*(AB84/100)</f>
        <v>48.201536097968003</v>
      </c>
      <c r="N84" s="2">
        <f>$E84*AL84</f>
        <v>1.3909370199692295</v>
      </c>
      <c r="O84" s="2">
        <f>$E84*(AA84/100)</f>
        <v>100.94009214079999</v>
      </c>
      <c r="P84" s="2">
        <f>$E84*AM84</f>
        <v>3.9143362831858086</v>
      </c>
      <c r="Q84" s="2">
        <f>$E84*AN84</f>
        <v>5.3999999999999693</v>
      </c>
      <c r="R84" s="2">
        <f>$E84*AQ84</f>
        <v>0.39999999999997893</v>
      </c>
      <c r="S84" s="2">
        <f>$E84*AO84</f>
        <v>27.837173579109031</v>
      </c>
      <c r="T84" s="2">
        <f>$E84*AP84</f>
        <v>4.9546850998463601</v>
      </c>
      <c r="U84" s="2">
        <f>S84-T84</f>
        <v>22.882488479262669</v>
      </c>
      <c r="V84" s="1">
        <f>F84/D84</f>
        <v>0.25514175480270901</v>
      </c>
      <c r="W84" s="1">
        <f>(F84+M84+N84+P84)/(D84+M84+N84+Q84)</f>
        <v>0.32215499766365024</v>
      </c>
      <c r="X84" s="1">
        <f>(G84+H84*2+I84*3+J84*4)/D84</f>
        <v>0.37798317621370853</v>
      </c>
      <c r="Y84" s="1">
        <f>W84+X84</f>
        <v>0.70013817387735877</v>
      </c>
      <c r="Z84">
        <v>0.29133489439999999</v>
      </c>
      <c r="AA84">
        <v>17.050691239999999</v>
      </c>
      <c r="AB84">
        <v>8.1421513679000004</v>
      </c>
      <c r="AD84" s="2">
        <f>(D84-O84-J84+Q84)*Z84</f>
        <v>124.26716153294647</v>
      </c>
      <c r="AE84">
        <v>0.23007427899999999</v>
      </c>
      <c r="AF84">
        <v>0.76567741935483802</v>
      </c>
      <c r="AG84">
        <v>0.2</v>
      </c>
      <c r="AH84">
        <v>2.4193548387096701E-2</v>
      </c>
      <c r="AI84">
        <v>2.0270270270270199E-2</v>
      </c>
      <c r="AJ84">
        <v>0.12121372524598301</v>
      </c>
      <c r="AK84">
        <v>9.9662162162162102E-2</v>
      </c>
      <c r="AL84">
        <v>2.34955577697505E-3</v>
      </c>
      <c r="AM84">
        <v>6.6120545324084602E-3</v>
      </c>
      <c r="AN84">
        <v>9.1216216216215701E-3</v>
      </c>
      <c r="AO84">
        <v>4.7022252667413902E-2</v>
      </c>
      <c r="AP84">
        <v>8.3694005064972304E-3</v>
      </c>
      <c r="AQ84">
        <v>6.7567567567564004E-4</v>
      </c>
    </row>
    <row r="85" spans="1:43" x14ac:dyDescent="0.4">
      <c r="A85" t="s">
        <v>180</v>
      </c>
      <c r="B85" t="s">
        <v>184</v>
      </c>
      <c r="C85" s="4">
        <f>K85*1.9+G85*2.6+H85*5.2+I85*7.8+J85*10.4+L85*1.9+S85*4.2+M85*2.6+P85*2.6</f>
        <v>1022.9940861873031</v>
      </c>
      <c r="D85" s="2">
        <f>E85-M85-P85-Q85-R85</f>
        <v>512.34782949285091</v>
      </c>
      <c r="E85">
        <v>568</v>
      </c>
      <c r="F85" s="2">
        <f>AD85+J85</f>
        <v>127.22504587437702</v>
      </c>
      <c r="G85" s="2">
        <f>$AD85*AF85</f>
        <v>80.064071448034497</v>
      </c>
      <c r="H85" s="2">
        <f>$AD85*AG85</f>
        <v>25.241756102447368</v>
      </c>
      <c r="I85" s="2">
        <f>$AD85*AH85</f>
        <v>1.978444644646796</v>
      </c>
      <c r="J85" s="2">
        <f>$E85*AI85</f>
        <v>20.199999999999921</v>
      </c>
      <c r="K85" s="2">
        <f>$E85*AJ85</f>
        <v>71.428571428570933</v>
      </c>
      <c r="L85" s="2">
        <f>$E85*AK85</f>
        <v>74.999999999999574</v>
      </c>
      <c r="M85" s="2">
        <f>$E85*(AB85/100)</f>
        <v>45.843537413623999</v>
      </c>
      <c r="N85" s="2">
        <f>$E85*AL85</f>
        <v>3.6829931972788774</v>
      </c>
      <c r="O85" s="2">
        <f>$E85*(AA85/100)</f>
        <v>97.564625859999992</v>
      </c>
      <c r="P85" s="2">
        <f>$E85*AM85</f>
        <v>4.0086330935251464</v>
      </c>
      <c r="Q85" s="2">
        <f>$E85*AN85</f>
        <v>5.7999999999999421</v>
      </c>
      <c r="R85" s="2">
        <f>$E85*AQ85</f>
        <v>0</v>
      </c>
      <c r="S85" s="2">
        <f>$E85*AO85</f>
        <v>11.959183673469292</v>
      </c>
      <c r="T85" s="2">
        <f>$E85*AP85</f>
        <v>2.9897959183673035</v>
      </c>
      <c r="U85" s="2">
        <f>S85-T85</f>
        <v>8.9693877551019892</v>
      </c>
      <c r="V85" s="1">
        <f>F85/D85</f>
        <v>0.24831772196695187</v>
      </c>
      <c r="W85" s="1">
        <f>(F85+M85+N85+P85)/(D85+M85+N85+Q85)</f>
        <v>0.31842236021681081</v>
      </c>
      <c r="X85" s="1">
        <f>(G85+H85*2+I85*3+J85*4)/D85</f>
        <v>0.42409258921219101</v>
      </c>
      <c r="Y85" s="1">
        <f>W85+X85</f>
        <v>0.74251494942900176</v>
      </c>
      <c r="Z85">
        <v>0.26730653259999998</v>
      </c>
      <c r="AA85">
        <v>17.176870749999999</v>
      </c>
      <c r="AB85">
        <v>8.0710453192999996</v>
      </c>
      <c r="AD85" s="2">
        <f>(D85-O85-J85+Q85)*Z85</f>
        <v>107.0250458743771</v>
      </c>
      <c r="AE85">
        <v>0.227544722</v>
      </c>
      <c r="AF85">
        <v>0.74808724251341496</v>
      </c>
      <c r="AG85">
        <v>0.23584905660377301</v>
      </c>
      <c r="AH85">
        <v>1.84858098259452E-2</v>
      </c>
      <c r="AI85">
        <v>3.5563380281690003E-2</v>
      </c>
      <c r="AJ85">
        <v>0.125754527162977</v>
      </c>
      <c r="AK85">
        <v>0.132042253521126</v>
      </c>
      <c r="AL85">
        <v>6.4841429529557699E-3</v>
      </c>
      <c r="AM85">
        <v>7.0574526294456801E-3</v>
      </c>
      <c r="AN85">
        <v>1.0211267605633701E-2</v>
      </c>
      <c r="AO85">
        <v>2.1054900833572698E-2</v>
      </c>
      <c r="AP85">
        <v>5.2637252083931399E-3</v>
      </c>
      <c r="AQ85">
        <v>0</v>
      </c>
    </row>
    <row r="86" spans="1:43" x14ac:dyDescent="0.4">
      <c r="A86" t="s">
        <v>189</v>
      </c>
      <c r="B86" t="s">
        <v>190</v>
      </c>
      <c r="C86" s="4">
        <f>K86*1.9+G86*2.6+H86*5.2+I86*7.8+J86*10.4+L86*1.9+S86*4.2+M86*2.6+P86*2.6</f>
        <v>1022.6909315371479</v>
      </c>
      <c r="D86" s="2">
        <f>E86-M86-P86-Q86-R86</f>
        <v>559.83079601363102</v>
      </c>
      <c r="E86">
        <v>611</v>
      </c>
      <c r="F86" s="2">
        <f>AD86+J86</f>
        <v>151.66080180247604</v>
      </c>
      <c r="G86" s="2">
        <f>$AD86*AF86</f>
        <v>104.40561707347412</v>
      </c>
      <c r="H86" s="2">
        <f>$AD86*AG86</f>
        <v>29.14195001682808</v>
      </c>
      <c r="I86" s="2">
        <f>$AD86*AH86</f>
        <v>1.5960094329702876</v>
      </c>
      <c r="J86" s="2">
        <f>$E86*AI86</f>
        <v>15.999999999999975</v>
      </c>
      <c r="K86" s="2">
        <f>$E86*AJ86</f>
        <v>69.854220779220327</v>
      </c>
      <c r="L86" s="2">
        <f>$E86*AK86</f>
        <v>81</v>
      </c>
      <c r="M86" s="2">
        <f>$E86*(AB86/100)</f>
        <v>40.165909093452996</v>
      </c>
      <c r="N86" s="2">
        <f>$E86*AL86</f>
        <v>0.99918831168825728</v>
      </c>
      <c r="O86" s="2">
        <f>$E86*(AA86/100)</f>
        <v>94.228896091199999</v>
      </c>
      <c r="P86" s="2">
        <f>$E86*AM86</f>
        <v>5.0032948929159309</v>
      </c>
      <c r="Q86" s="2">
        <f>$E86*AN86</f>
        <v>5.999999999999952</v>
      </c>
      <c r="R86" s="2">
        <f>$E86*AQ86</f>
        <v>0</v>
      </c>
      <c r="S86" s="2">
        <f>$E86*AO86</f>
        <v>3.9967532467531943</v>
      </c>
      <c r="T86" s="2">
        <f>$E86*AP86</f>
        <v>1.9983766233765636</v>
      </c>
      <c r="U86" s="2">
        <f>S86-T86</f>
        <v>1.9983766233766307</v>
      </c>
      <c r="V86" s="1">
        <f>F86/D86</f>
        <v>0.27090471421437012</v>
      </c>
      <c r="W86" s="1">
        <f>(F86+M86+N86+P86)/(D86+M86+N86+Q86)</f>
        <v>0.32591521004582635</v>
      </c>
      <c r="X86" s="1">
        <f>(G86+H86*2+I86*3+J86*4)/D86</f>
        <v>0.41347769192819628</v>
      </c>
      <c r="Y86" s="1">
        <f>W86+X86</f>
        <v>0.73939290197402263</v>
      </c>
      <c r="Z86">
        <v>0.29776171219999997</v>
      </c>
      <c r="AA86">
        <v>15.42207792</v>
      </c>
      <c r="AB86">
        <v>6.5737985422999996</v>
      </c>
      <c r="AD86" s="2">
        <f>(D86-O86-J86+Q86)*Z86</f>
        <v>135.66080180247607</v>
      </c>
      <c r="AE86">
        <v>0.24958856700000001</v>
      </c>
      <c r="AF86">
        <v>0.76960784313725406</v>
      </c>
      <c r="AG86">
        <v>0.21481481481481399</v>
      </c>
      <c r="AH86">
        <v>1.1764705882352801E-2</v>
      </c>
      <c r="AI86">
        <v>2.6186579378068699E-2</v>
      </c>
      <c r="AJ86">
        <v>0.11432769358301199</v>
      </c>
      <c r="AK86">
        <v>0.132569558101473</v>
      </c>
      <c r="AL86">
        <v>1.63533275235394E-3</v>
      </c>
      <c r="AM86">
        <v>8.1886986790768099E-3</v>
      </c>
      <c r="AN86">
        <v>9.8199672667756994E-3</v>
      </c>
      <c r="AO86">
        <v>6.5413310094160296E-3</v>
      </c>
      <c r="AP86">
        <v>3.2706655047079602E-3</v>
      </c>
      <c r="AQ86">
        <v>0</v>
      </c>
    </row>
    <row r="87" spans="1:43" x14ac:dyDescent="0.4">
      <c r="A87" t="s">
        <v>107</v>
      </c>
      <c r="B87" t="s">
        <v>109</v>
      </c>
      <c r="C87" s="4">
        <f>K87*1.9+G87*2.6+H87*5.2+I87*7.8+J87*10.4+L87*1.9+S87*4.2+M87*2.6+P87*2.6</f>
        <v>1020.9428364701597</v>
      </c>
      <c r="D87" s="2">
        <f>E87-M87-P87-Q87-R87</f>
        <v>558.12955605922104</v>
      </c>
      <c r="E87">
        <v>626</v>
      </c>
      <c r="F87" s="2">
        <f>AD87+J87</f>
        <v>141.32425880544002</v>
      </c>
      <c r="G87" s="2">
        <f>$AD87*AF87</f>
        <v>97.366441280337526</v>
      </c>
      <c r="H87" s="2">
        <f>$AD87*AG87</f>
        <v>26.406753893832832</v>
      </c>
      <c r="I87" s="2">
        <f>$AD87*AH87</f>
        <v>0.99785890290059087</v>
      </c>
      <c r="J87" s="2">
        <f>$E87*AI87</f>
        <v>16.399999999999967</v>
      </c>
      <c r="K87" s="2">
        <f>$E87*AJ87</f>
        <v>73.494832826747199</v>
      </c>
      <c r="L87" s="2">
        <f>$E87*AK87</f>
        <v>64.999999999999702</v>
      </c>
      <c r="M87" s="2">
        <f>$E87*(AB87/100)</f>
        <v>57.388753799933994</v>
      </c>
      <c r="N87" s="2">
        <f>$E87*AL87</f>
        <v>0</v>
      </c>
      <c r="O87" s="2">
        <f>$E87*(AA87/100)</f>
        <v>111.3100304252</v>
      </c>
      <c r="P87" s="2">
        <f>$E87*AM87</f>
        <v>3.8938967136149758</v>
      </c>
      <c r="Q87" s="2">
        <f>$E87*AN87</f>
        <v>5.5999999999999828</v>
      </c>
      <c r="R87" s="2">
        <f>$E87*AQ87</f>
        <v>0.98779342723000796</v>
      </c>
      <c r="S87" s="2">
        <f>$E87*AO87</f>
        <v>7.0610942249239521</v>
      </c>
      <c r="T87" s="2">
        <f>$E87*AP87</f>
        <v>2.9854103343464988</v>
      </c>
      <c r="U87" s="2">
        <f>S87-T87</f>
        <v>4.0756838905774533</v>
      </c>
      <c r="V87" s="1">
        <f>F87/D87</f>
        <v>0.25321049077437613</v>
      </c>
      <c r="W87" s="1">
        <f>(F87+M87+N87+P87)/(D87+M87+N87+Q87)</f>
        <v>0.32619696779657353</v>
      </c>
      <c r="X87" s="1">
        <f>(G87+H87*2+I87*3+J87*4)/D87</f>
        <v>0.3919762417195688</v>
      </c>
      <c r="Y87" s="1">
        <f>W87+X87</f>
        <v>0.71817320951614239</v>
      </c>
      <c r="Z87">
        <v>0.28651069839999999</v>
      </c>
      <c r="AA87">
        <v>17.78115502</v>
      </c>
      <c r="AB87">
        <v>9.1675325558999994</v>
      </c>
      <c r="AD87" s="2">
        <f>(D87-O87-J87+Q87)*Z87</f>
        <v>124.92425880544006</v>
      </c>
      <c r="AE87">
        <v>0.226948328</v>
      </c>
      <c r="AF87">
        <v>0.77940379403794002</v>
      </c>
      <c r="AG87">
        <v>0.211382113821138</v>
      </c>
      <c r="AH87">
        <v>7.98771121351762E-3</v>
      </c>
      <c r="AI87">
        <v>2.6198083067092599E-2</v>
      </c>
      <c r="AJ87">
        <v>0.11740388630470799</v>
      </c>
      <c r="AK87">
        <v>0.103833865814696</v>
      </c>
      <c r="AL87">
        <v>0</v>
      </c>
      <c r="AM87">
        <v>6.2202822901197699E-3</v>
      </c>
      <c r="AN87">
        <v>8.9456869009584394E-3</v>
      </c>
      <c r="AO87">
        <v>1.1279703234702799E-2</v>
      </c>
      <c r="AP87">
        <v>4.7690260932052699E-3</v>
      </c>
      <c r="AQ87">
        <v>1.5779447719329201E-3</v>
      </c>
    </row>
    <row r="88" spans="1:43" x14ac:dyDescent="0.4">
      <c r="A88" t="s">
        <v>39</v>
      </c>
      <c r="B88" t="s">
        <v>42</v>
      </c>
      <c r="C88" s="4">
        <f>K88*1.9+G88*2.6+H88*5.2+I88*7.8+J88*10.4+L88*1.9+S88*4.2+M88*2.6+P88*2.6</f>
        <v>1020.9002753639199</v>
      </c>
      <c r="D88" s="2">
        <f>E88-M88-P88-Q88-R88</f>
        <v>524.42546493450357</v>
      </c>
      <c r="E88">
        <v>604</v>
      </c>
      <c r="F88" s="2">
        <f>AD88+J88</f>
        <v>130.9781458837295</v>
      </c>
      <c r="G88" s="2">
        <f>$AD88*AF88</f>
        <v>88.237839351166215</v>
      </c>
      <c r="H88" s="2">
        <f>$AD88*AG88</f>
        <v>25.214505676256469</v>
      </c>
      <c r="I88" s="2">
        <f>$AD88*AH88</f>
        <v>0.9895555030349914</v>
      </c>
      <c r="J88" s="2">
        <f>$E88*AI88</f>
        <v>15.999999999999963</v>
      </c>
      <c r="K88" s="2">
        <f>$E88*AJ88</f>
        <v>76.251177394034301</v>
      </c>
      <c r="L88" s="2">
        <f>$E88*AK88</f>
        <v>64.999999999999943</v>
      </c>
      <c r="M88" s="2">
        <f>$E88*(AB88/100)</f>
        <v>63.432182124320001</v>
      </c>
      <c r="N88" s="2">
        <f>$E88*AL88</f>
        <v>1.9896389324960169</v>
      </c>
      <c r="O88" s="2">
        <f>$E88*(AA88/100)</f>
        <v>97.664050229599994</v>
      </c>
      <c r="P88" s="2">
        <f>$E88*AM88</f>
        <v>9.1151260504201499</v>
      </c>
      <c r="Q88" s="2">
        <f>$E88*AN88</f>
        <v>3.9999999999999449</v>
      </c>
      <c r="R88" s="2">
        <f>$E88*AQ88</f>
        <v>3.0272268907562601</v>
      </c>
      <c r="S88" s="2">
        <f>$E88*AO88</f>
        <v>6.9637362637362399</v>
      </c>
      <c r="T88" s="2">
        <f>$E88*AP88</f>
        <v>1.9896389324960229</v>
      </c>
      <c r="U88" s="2">
        <f>S88-T88</f>
        <v>4.974097331240217</v>
      </c>
      <c r="V88" s="1">
        <f>F88/D88</f>
        <v>0.24975550319641246</v>
      </c>
      <c r="W88" s="1">
        <f>(F88+M88+N88+P88)/(D88+M88+N88+Q88)</f>
        <v>0.34607397867937667</v>
      </c>
      <c r="X88" s="1">
        <f>(G88+H88*2+I88*3+J88*4)/D88</f>
        <v>0.39211581237472165</v>
      </c>
      <c r="Y88" s="1">
        <f>W88+X88</f>
        <v>0.73818979105409832</v>
      </c>
      <c r="Z88">
        <v>0.27721514539999997</v>
      </c>
      <c r="AA88">
        <v>16.169544739999999</v>
      </c>
      <c r="AB88">
        <v>10.502016908</v>
      </c>
      <c r="AD88" s="2">
        <f>(D88-O88-J88+Q88)*Z88</f>
        <v>114.97814588372954</v>
      </c>
      <c r="AE88">
        <v>0.22090238800000001</v>
      </c>
      <c r="AF88">
        <v>0.76743139901034596</v>
      </c>
      <c r="AG88">
        <v>0.21929824561403499</v>
      </c>
      <c r="AH88">
        <v>8.6064659977702993E-3</v>
      </c>
      <c r="AI88">
        <v>2.64900662251655E-2</v>
      </c>
      <c r="AJ88">
        <v>0.126243671182176</v>
      </c>
      <c r="AK88">
        <v>0.107615894039735</v>
      </c>
      <c r="AL88">
        <v>3.2941041928742001E-3</v>
      </c>
      <c r="AM88">
        <v>1.50912682953976E-2</v>
      </c>
      <c r="AN88">
        <v>6.6225165562912996E-3</v>
      </c>
      <c r="AO88">
        <v>1.1529364675059999E-2</v>
      </c>
      <c r="AP88">
        <v>3.29410419287421E-3</v>
      </c>
      <c r="AQ88">
        <v>5.0119650509209603E-3</v>
      </c>
    </row>
    <row r="89" spans="1:43" x14ac:dyDescent="0.4">
      <c r="A89" t="s">
        <v>267</v>
      </c>
      <c r="B89" t="s">
        <v>269</v>
      </c>
      <c r="C89" s="4">
        <f>K89*1.9+G89*2.6+H89*5.2+I89*7.8+J89*10.4+L89*1.9+S89*4.2+M89*2.6+P89*2.6</f>
        <v>1020.6014108177394</v>
      </c>
      <c r="D89" s="2">
        <f>E89-M89-P89-Q89-R89</f>
        <v>525.74818006054647</v>
      </c>
      <c r="E89">
        <v>576</v>
      </c>
      <c r="F89" s="2">
        <f>AD89+J89</f>
        <v>128.27213801280118</v>
      </c>
      <c r="G89" s="2">
        <f>$AD89*AF89</f>
        <v>84.847644733272986</v>
      </c>
      <c r="H89" s="2">
        <f>$AD89*AG89</f>
        <v>24.840381143158147</v>
      </c>
      <c r="I89" s="2">
        <f>$AD89*AH89</f>
        <v>3.6408901504114621</v>
      </c>
      <c r="J89" s="2">
        <f>$E89*AI89</f>
        <v>14.999999999999961</v>
      </c>
      <c r="K89" s="2">
        <f>$E89*AJ89</f>
        <v>69.330612244897736</v>
      </c>
      <c r="L89" s="2">
        <f>$E89*AK89</f>
        <v>61.999999999999488</v>
      </c>
      <c r="M89" s="2">
        <f>$E89*(AB89/100)</f>
        <v>38.118367345535994</v>
      </c>
      <c r="N89" s="2">
        <f>$E89*AL89</f>
        <v>0</v>
      </c>
      <c r="O89" s="2">
        <f>$E89*(AA89/100)</f>
        <v>127.34693879039999</v>
      </c>
      <c r="P89" s="2">
        <f>$E89*AM89</f>
        <v>8.3334525939176256</v>
      </c>
      <c r="Q89" s="2">
        <f>$E89*AN89</f>
        <v>3.3999999999999724</v>
      </c>
      <c r="R89" s="2">
        <f>$E89*AQ89</f>
        <v>0.39999999999999747</v>
      </c>
      <c r="S89" s="2">
        <f>$E89*AO89</f>
        <v>27.648979591836671</v>
      </c>
      <c r="T89" s="2">
        <f>$E89*AP89</f>
        <v>6.9857142857142343</v>
      </c>
      <c r="U89" s="2">
        <f>S89-T89</f>
        <v>20.663265306122437</v>
      </c>
      <c r="V89" s="1">
        <f>F89/D89</f>
        <v>0.24398018457815496</v>
      </c>
      <c r="W89" s="1">
        <f>(F89+M89+N89+P89)/(D89+M89+N89+Q89)</f>
        <v>0.30801033262265903</v>
      </c>
      <c r="X89" s="1">
        <f>(G89+H89*2+I89*3+J89*4)/D89</f>
        <v>0.3907784853333458</v>
      </c>
      <c r="Y89" s="1">
        <f>W89+X89</f>
        <v>0.69878881795600489</v>
      </c>
      <c r="Z89">
        <v>0.29284326399999999</v>
      </c>
      <c r="AA89">
        <v>22.108843539999999</v>
      </c>
      <c r="AB89">
        <v>6.6177721085999996</v>
      </c>
      <c r="AD89" s="2">
        <f>(D89-O89-J89+Q89)*Z89</f>
        <v>113.27213801280121</v>
      </c>
      <c r="AE89">
        <v>0.222275368</v>
      </c>
      <c r="AF89">
        <v>0.74906015037593898</v>
      </c>
      <c r="AG89">
        <v>0.21929824561403499</v>
      </c>
      <c r="AH89">
        <v>3.2142857142857098E-2</v>
      </c>
      <c r="AI89">
        <v>2.6041666666666598E-2</v>
      </c>
      <c r="AJ89">
        <v>0.120365646258503</v>
      </c>
      <c r="AK89">
        <v>0.10763888888888801</v>
      </c>
      <c r="AL89">
        <v>0</v>
      </c>
      <c r="AM89">
        <v>1.44677996422181E-2</v>
      </c>
      <c r="AN89">
        <v>5.9027777777777299E-3</v>
      </c>
      <c r="AO89">
        <v>4.8001700680272E-2</v>
      </c>
      <c r="AP89">
        <v>1.2127976190476101E-2</v>
      </c>
      <c r="AQ89">
        <v>6.9444444444444003E-4</v>
      </c>
    </row>
    <row r="90" spans="1:43" x14ac:dyDescent="0.4">
      <c r="A90" t="s">
        <v>94</v>
      </c>
      <c r="B90" t="s">
        <v>99</v>
      </c>
      <c r="C90" s="4">
        <f>K90*1.9+G90*2.6+H90*5.2+I90*7.8+J90*10.4+L90*1.9+S90*4.2+M90*2.6+P90*2.6</f>
        <v>1019.1408380664483</v>
      </c>
      <c r="D90" s="2">
        <f>E90-M90-P90-Q90-R90</f>
        <v>511.38428056427472</v>
      </c>
      <c r="E90">
        <v>567</v>
      </c>
      <c r="F90" s="2">
        <f>AD90+J90</f>
        <v>122.2636227483778</v>
      </c>
      <c r="G90" s="2">
        <f>$AD90*AF90</f>
        <v>76.202893041275516</v>
      </c>
      <c r="H90" s="2">
        <f>$AD90*AG90</f>
        <v>26.415905687094465</v>
      </c>
      <c r="I90" s="2">
        <f>$AD90*AH90</f>
        <v>2.5675272817362687</v>
      </c>
      <c r="J90" s="2">
        <f>$E90*AI90</f>
        <v>16.599999999999937</v>
      </c>
      <c r="K90" s="2">
        <f>$E90*AJ90</f>
        <v>71.583720930232047</v>
      </c>
      <c r="L90" s="2">
        <f>$E90*AK90</f>
        <v>63.999999999999879</v>
      </c>
      <c r="M90" s="2">
        <f>$E90*(AB90/100)</f>
        <v>44.309302323425946</v>
      </c>
      <c r="N90" s="2">
        <f>$E90*AL90</f>
        <v>9.4186046511627208E-2</v>
      </c>
      <c r="O90" s="2">
        <f>$E90*(AA90/100)</f>
        <v>145.98837211770001</v>
      </c>
      <c r="P90" s="2">
        <f>$E90*AM90</f>
        <v>6.9064171122993789</v>
      </c>
      <c r="Q90" s="2">
        <f>$E90*AN90</f>
        <v>4.3999999999999506</v>
      </c>
      <c r="R90" s="2">
        <f>$E90*AQ90</f>
        <v>0</v>
      </c>
      <c r="S90" s="2">
        <f>$E90*AO90</f>
        <v>23.860465116279041</v>
      </c>
      <c r="T90" s="2">
        <f>$E90*AP90</f>
        <v>8.0476744186046059</v>
      </c>
      <c r="U90" s="2">
        <f>S90-T90</f>
        <v>15.812790697674435</v>
      </c>
      <c r="V90" s="1">
        <f>F90/D90</f>
        <v>0.23908365469010689</v>
      </c>
      <c r="W90" s="1">
        <f>(F90+M90+N90+P90)/(D90+M90+N90+Q90)</f>
        <v>0.30984883615157799</v>
      </c>
      <c r="X90" s="1">
        <f>(G90+H90*2+I90*3+J90*4)/D90</f>
        <v>0.39723021215381521</v>
      </c>
      <c r="Y90" s="1">
        <f>W90+X90</f>
        <v>0.70707904830539325</v>
      </c>
      <c r="Z90">
        <v>0.29916434539999998</v>
      </c>
      <c r="AA90">
        <v>25.747508310000001</v>
      </c>
      <c r="AB90">
        <v>7.8146917677999896</v>
      </c>
      <c r="AD90" s="2">
        <f>(D90-O90-J90+Q90)*Z90</f>
        <v>105.66362274837786</v>
      </c>
      <c r="AE90">
        <v>0.21893394199999999</v>
      </c>
      <c r="AF90">
        <v>0.72118380062305198</v>
      </c>
      <c r="AG90">
        <v>0.25</v>
      </c>
      <c r="AH90">
        <v>2.4299065420560598E-2</v>
      </c>
      <c r="AI90">
        <v>2.92768959435625E-2</v>
      </c>
      <c r="AJ90">
        <v>0.126249948730568</v>
      </c>
      <c r="AK90">
        <v>0.11287477954144599</v>
      </c>
      <c r="AL90">
        <v>1.6611295681062999E-4</v>
      </c>
      <c r="AM90">
        <v>1.2180629827688499E-2</v>
      </c>
      <c r="AN90">
        <v>7.7601410934743402E-3</v>
      </c>
      <c r="AO90">
        <v>4.2081949058693197E-2</v>
      </c>
      <c r="AP90">
        <v>1.4193429309708299E-2</v>
      </c>
      <c r="AQ90">
        <v>0</v>
      </c>
    </row>
    <row r="91" spans="1:43" x14ac:dyDescent="0.4">
      <c r="A91" t="s">
        <v>122</v>
      </c>
      <c r="B91" t="s">
        <v>124</v>
      </c>
      <c r="C91" s="4">
        <f>K91*1.9+G91*2.6+H91*5.2+I91*7.8+J91*10.4+L91*1.9+S91*4.2+M91*2.6+P91*2.6</f>
        <v>1018.7730432402155</v>
      </c>
      <c r="D91" s="2">
        <f>E91-M91-P91-Q91-R91</f>
        <v>494.64294762786471</v>
      </c>
      <c r="E91">
        <v>576</v>
      </c>
      <c r="F91" s="2">
        <f>AD91+J91</f>
        <v>126.14828992888691</v>
      </c>
      <c r="G91" s="2">
        <f>$AD91*AF91</f>
        <v>83.04479371277651</v>
      </c>
      <c r="H91" s="2">
        <f>$AD91*AG91</f>
        <v>27.279313766485984</v>
      </c>
      <c r="I91" s="2">
        <f>$AD91*AH91</f>
        <v>2.050283999367132</v>
      </c>
      <c r="J91" s="2">
        <f>$E91*AI91</f>
        <v>13.999999999999968</v>
      </c>
      <c r="K91" s="2">
        <f>$E91*AJ91</f>
        <v>74.905546218486904</v>
      </c>
      <c r="L91" s="2">
        <f>$E91*AK91</f>
        <v>56.999999999999979</v>
      </c>
      <c r="M91" s="2">
        <f>$E91*(AB91/100)</f>
        <v>61.192436987520004</v>
      </c>
      <c r="N91" s="2">
        <f>$E91*AL91</f>
        <v>0</v>
      </c>
      <c r="O91" s="2">
        <f>$E91*(AA91/100)</f>
        <v>109.3915966464</v>
      </c>
      <c r="P91" s="2">
        <f>$E91*AM91</f>
        <v>15.173846153846092</v>
      </c>
      <c r="Q91" s="2">
        <f>$E91*AN91</f>
        <v>3.9999999999999742</v>
      </c>
      <c r="R91" s="2">
        <f>$E91*AQ91</f>
        <v>0.99076923076922496</v>
      </c>
      <c r="S91" s="2">
        <f>$E91*AO91</f>
        <v>11.961680672268864</v>
      </c>
      <c r="T91" s="2">
        <f>$E91*AP91</f>
        <v>2.8936134453781328</v>
      </c>
      <c r="U91" s="2">
        <f>S91-T91</f>
        <v>9.0680672268907312</v>
      </c>
      <c r="V91" s="1">
        <f>F91/D91</f>
        <v>0.25502898713880418</v>
      </c>
      <c r="W91" s="1">
        <f>(F91+M91+N91+P91)/(D91+M91+N91+Q91)</f>
        <v>0.36173950170974556</v>
      </c>
      <c r="X91" s="1">
        <f>(G91+H91*2+I91*3+J91*4)/D91</f>
        <v>0.4038352799768028</v>
      </c>
      <c r="Y91" s="1">
        <f>W91+X91</f>
        <v>0.76557478168654836</v>
      </c>
      <c r="Z91">
        <v>0.29886178860000001</v>
      </c>
      <c r="AA91">
        <v>18.991596640000001</v>
      </c>
      <c r="AB91">
        <v>10.623686977</v>
      </c>
      <c r="AD91" s="2">
        <f>(D91-O91-J91+Q91)*Z91</f>
        <v>112.14828992888694</v>
      </c>
      <c r="AE91">
        <v>0.21595619199999999</v>
      </c>
      <c r="AF91">
        <v>0.74049094966526097</v>
      </c>
      <c r="AG91">
        <v>0.24324324324324301</v>
      </c>
      <c r="AH91">
        <v>1.8281901584653801E-2</v>
      </c>
      <c r="AI91">
        <v>2.43055555555555E-2</v>
      </c>
      <c r="AJ91">
        <v>0.130044351073762</v>
      </c>
      <c r="AK91">
        <v>9.8958333333333301E-2</v>
      </c>
      <c r="AL91">
        <v>0</v>
      </c>
      <c r="AM91">
        <v>2.6343482905982801E-2</v>
      </c>
      <c r="AN91">
        <v>6.9444444444443998E-3</v>
      </c>
      <c r="AO91">
        <v>2.0766806722689001E-2</v>
      </c>
      <c r="AP91">
        <v>5.0236344537814802E-3</v>
      </c>
      <c r="AQ91">
        <v>1.72008547008546E-3</v>
      </c>
    </row>
    <row r="92" spans="1:43" x14ac:dyDescent="0.4">
      <c r="A92" t="s">
        <v>129</v>
      </c>
      <c r="B92" t="s">
        <v>131</v>
      </c>
      <c r="C92" s="4">
        <f>K92*1.9+G92*2.6+H92*5.2+I92*7.8+J92*10.4+L92*1.9+S92*4.2+M92*2.6+P92*2.6</f>
        <v>1017.5124804813033</v>
      </c>
      <c r="D92" s="2">
        <f>E92-M92-P92-Q92-R92</f>
        <v>475.03962378865776</v>
      </c>
      <c r="E92">
        <v>545</v>
      </c>
      <c r="F92" s="2">
        <f>AD92+J92</f>
        <v>110.0242573511109</v>
      </c>
      <c r="G92" s="2">
        <f>$AD92*AF92</f>
        <v>59.547722349000161</v>
      </c>
      <c r="H92" s="2">
        <f>$AD92*AG92</f>
        <v>22.785035169584901</v>
      </c>
      <c r="I92" s="2">
        <f>$AD92*AH92</f>
        <v>0.98841006223460526</v>
      </c>
      <c r="J92" s="2">
        <f>$E92*AI92</f>
        <v>27.799999999999944</v>
      </c>
      <c r="K92" s="2">
        <f>$E92*AJ92</f>
        <v>70.626785714285418</v>
      </c>
      <c r="L92" s="2">
        <f>$E92*AK92</f>
        <v>70.999999999999915</v>
      </c>
      <c r="M92" s="2">
        <f>$E92*(AB92/100)</f>
        <v>61.03124999775001</v>
      </c>
      <c r="N92" s="2">
        <f>$E92*AL92</f>
        <v>0.99732142857142347</v>
      </c>
      <c r="O92" s="2">
        <f>$E92*(AA92/100)</f>
        <v>141.11607141300001</v>
      </c>
      <c r="P92" s="2">
        <f>$E92*AM92</f>
        <v>5.9291262135922267</v>
      </c>
      <c r="Q92" s="2">
        <f>$E92*AN92</f>
        <v>2.9999999999999982</v>
      </c>
      <c r="R92" s="2">
        <f>$E92*AQ92</f>
        <v>0</v>
      </c>
      <c r="S92" s="2">
        <f>$E92*AO92</f>
        <v>0.99732142857142347</v>
      </c>
      <c r="T92" s="2">
        <f>$E92*AP92</f>
        <v>0</v>
      </c>
      <c r="U92" s="2">
        <f>S92-T92</f>
        <v>0.99732142857142347</v>
      </c>
      <c r="V92" s="1">
        <f>F92/D92</f>
        <v>0.23161069485870936</v>
      </c>
      <c r="W92" s="1">
        <f>(F92+M92+N92+P92)/(D92+M92+N92+Q92)</f>
        <v>0.3295545943418815</v>
      </c>
      <c r="X92" s="1">
        <f>(G92+H92*2+I92*3+J92*4)/D92</f>
        <v>0.46160996239848662</v>
      </c>
      <c r="Y92" s="1">
        <f>W92+X92</f>
        <v>0.79116455674036812</v>
      </c>
      <c r="Z92">
        <v>0.26599156459999901</v>
      </c>
      <c r="AA92">
        <v>25.89285714</v>
      </c>
      <c r="AB92">
        <v>11.198394495000001</v>
      </c>
      <c r="AD92" s="2">
        <f>(D92-O92-J92+Q92)*Z92</f>
        <v>82.224257351110964</v>
      </c>
      <c r="AE92">
        <v>0.20578068699999999</v>
      </c>
      <c r="AF92">
        <v>0.72421113023522599</v>
      </c>
      <c r="AG92">
        <v>0.27710843373493899</v>
      </c>
      <c r="AH92">
        <v>1.2020905923344901E-2</v>
      </c>
      <c r="AI92">
        <v>5.1009174311926503E-2</v>
      </c>
      <c r="AJ92">
        <v>0.12959043250327601</v>
      </c>
      <c r="AK92">
        <v>0.13027522935779801</v>
      </c>
      <c r="AL92">
        <v>1.8299475753604101E-3</v>
      </c>
      <c r="AM92">
        <v>1.08791306671417E-2</v>
      </c>
      <c r="AN92">
        <v>5.5045871559632996E-3</v>
      </c>
      <c r="AO92">
        <v>1.8299475753604101E-3</v>
      </c>
      <c r="AP92">
        <v>0</v>
      </c>
      <c r="AQ92">
        <v>0</v>
      </c>
    </row>
    <row r="93" spans="1:43" x14ac:dyDescent="0.4">
      <c r="A93" t="s">
        <v>31</v>
      </c>
      <c r="B93" t="s">
        <v>34</v>
      </c>
      <c r="C93" s="4">
        <f>K93*1.9+G93*2.6+H93*5.2+I93*7.8+J93*10.4+L93*1.9+S93*4.2+M93*2.6+P93*2.6</f>
        <v>1015.7789916059614</v>
      </c>
      <c r="D93" s="2">
        <f>E93-M93-P93-Q93-R93</f>
        <v>522.40315184400833</v>
      </c>
      <c r="E93">
        <v>597</v>
      </c>
      <c r="F93" s="2">
        <f>AD93+J93</f>
        <v>117.94977166624724</v>
      </c>
      <c r="G93" s="2">
        <f>$AD93*AF93</f>
        <v>66.252847398079567</v>
      </c>
      <c r="H93" s="2">
        <f>$AD93*AG93</f>
        <v>27.585649047499157</v>
      </c>
      <c r="I93" s="2">
        <f>$AD93*AH93</f>
        <v>2.5341826666212879</v>
      </c>
      <c r="J93" s="2">
        <f>$E93*AI93</f>
        <v>21.399999999999949</v>
      </c>
      <c r="K93" s="2">
        <f>$E93*AJ93</f>
        <v>71.005775075987259</v>
      </c>
      <c r="L93" s="2">
        <f>$E93*AK93</f>
        <v>65.999999999999716</v>
      </c>
      <c r="M93" s="2">
        <f>$E93*(AB93/100)</f>
        <v>65.486170189890004</v>
      </c>
      <c r="N93" s="2">
        <f>$E93*AL93</f>
        <v>0.99072948328266364</v>
      </c>
      <c r="O93" s="2">
        <f>$E93*(AA93/100)</f>
        <v>127.9285714371</v>
      </c>
      <c r="P93" s="2">
        <f>$E93*AM93</f>
        <v>3.903559322033892</v>
      </c>
      <c r="Q93" s="2">
        <f>$E93*AN93</f>
        <v>4.1999999999999966</v>
      </c>
      <c r="R93" s="2">
        <f>$E93*AQ93</f>
        <v>1.0071186440677646</v>
      </c>
      <c r="S93" s="2">
        <f>$E93*AO93</f>
        <v>4.0536474164133605</v>
      </c>
      <c r="T93" s="2">
        <f>$E93*AP93</f>
        <v>1.9814589665653395</v>
      </c>
      <c r="U93" s="2">
        <f>S93-T93</f>
        <v>2.0721884498480208</v>
      </c>
      <c r="V93" s="1">
        <f>F93/D93</f>
        <v>0.22578303988002643</v>
      </c>
      <c r="W93" s="1">
        <f>(F93+M93+N93+P93)/(D93+M93+N93+Q93)</f>
        <v>0.3175460550050182</v>
      </c>
      <c r="X93" s="1">
        <f>(G93+H93*2+I93*3+J93*4)/D93</f>
        <v>0.41084494367107099</v>
      </c>
      <c r="Y93" s="1">
        <f>W93+X93</f>
        <v>0.72839099867608925</v>
      </c>
      <c r="Z93">
        <v>0.2559138004</v>
      </c>
      <c r="AA93">
        <v>21.428571430000002</v>
      </c>
      <c r="AB93">
        <v>10.969207737</v>
      </c>
      <c r="AD93" s="2">
        <f>(D93-O93-J93+Q93)*Z93</f>
        <v>96.549771666247295</v>
      </c>
      <c r="AE93">
        <v>0.20187876499999999</v>
      </c>
      <c r="AF93">
        <v>0.68620408163265301</v>
      </c>
      <c r="AG93">
        <v>0.28571428571428498</v>
      </c>
      <c r="AH93">
        <v>2.6247422680412299E-2</v>
      </c>
      <c r="AI93">
        <v>3.5845896147403598E-2</v>
      </c>
      <c r="AJ93">
        <v>0.118937646693446</v>
      </c>
      <c r="AK93">
        <v>0.110552763819095</v>
      </c>
      <c r="AL93">
        <v>1.6595133723327699E-3</v>
      </c>
      <c r="AM93">
        <v>6.5386253300400198E-3</v>
      </c>
      <c r="AN93">
        <v>7.03517587939698E-3</v>
      </c>
      <c r="AO93">
        <v>6.7900291732217099E-3</v>
      </c>
      <c r="AP93">
        <v>3.3190267446655602E-3</v>
      </c>
      <c r="AQ93">
        <v>1.6869659029610799E-3</v>
      </c>
    </row>
    <row r="94" spans="1:43" x14ac:dyDescent="0.4">
      <c r="A94" t="s">
        <v>115</v>
      </c>
      <c r="B94" t="s">
        <v>117</v>
      </c>
      <c r="C94" s="4">
        <f>K94*1.9+G94*2.6+H94*5.2+I94*7.8+J94*10.4+L94*1.9+S94*4.2+M94*2.6+P94*2.6</f>
        <v>1014.5773127077239</v>
      </c>
      <c r="D94" s="2">
        <f>E94-M94-P94-Q94-R94</f>
        <v>514.49561372803873</v>
      </c>
      <c r="E94">
        <v>593</v>
      </c>
      <c r="F94" s="2">
        <f>AD94+J94</f>
        <v>119.80753569187377</v>
      </c>
      <c r="G94" s="2">
        <f>$AD94*AF94</f>
        <v>75.499507125697278</v>
      </c>
      <c r="H94" s="2">
        <f>$AD94*AG94</f>
        <v>21.912785709305272</v>
      </c>
      <c r="I94" s="2">
        <f>$AD94*AH94</f>
        <v>0.99603571405933156</v>
      </c>
      <c r="J94" s="2">
        <f>$E94*AI94</f>
        <v>21.199999999999939</v>
      </c>
      <c r="K94" s="2">
        <f>$E94*AJ94</f>
        <v>71.017733990147548</v>
      </c>
      <c r="L94" s="2">
        <f>$E94*AK94</f>
        <v>75.999999999999588</v>
      </c>
      <c r="M94" s="2">
        <f>$E94*(AB94/100)</f>
        <v>61.716091957579998</v>
      </c>
      <c r="N94" s="2">
        <f>$E94*AL94</f>
        <v>0.59737274220031289</v>
      </c>
      <c r="O94" s="2">
        <f>$E94*(AA94/100)</f>
        <v>99.320197027100022</v>
      </c>
      <c r="P94" s="2">
        <f>$E94*AM94</f>
        <v>12.188294314381205</v>
      </c>
      <c r="Q94" s="2">
        <f>$E94*AN94</f>
        <v>4.5999999999999766</v>
      </c>
      <c r="R94" s="2">
        <f>$E94*AQ94</f>
        <v>0</v>
      </c>
      <c r="S94" s="2">
        <f>$E94*AO94</f>
        <v>1.0947454844006281</v>
      </c>
      <c r="T94" s="2">
        <f>$E94*AP94</f>
        <v>0.99737274220030248</v>
      </c>
      <c r="U94" s="2">
        <f>S94-T94</f>
        <v>9.7372742200325657E-2</v>
      </c>
      <c r="V94" s="1">
        <f>F94/D94</f>
        <v>0.23286405655384998</v>
      </c>
      <c r="W94" s="1">
        <f>(F94+M94+N94+P94)/(D94+M94+N94+Q94)</f>
        <v>0.33420409469949214</v>
      </c>
      <c r="X94" s="1">
        <f>(G94+H94*2+I94*3+J94*4)/D94</f>
        <v>0.40255578504497253</v>
      </c>
      <c r="Y94" s="1">
        <f>W94+X94</f>
        <v>0.73675987974446466</v>
      </c>
      <c r="Z94">
        <v>0.24739994379999999</v>
      </c>
      <c r="AA94">
        <v>16.748768470000002</v>
      </c>
      <c r="AB94">
        <v>10.407435405999999</v>
      </c>
      <c r="AD94" s="2">
        <f>(D94-O94-J94+Q94)*Z94</f>
        <v>98.607535691873835</v>
      </c>
      <c r="AE94">
        <v>0.20427094400000001</v>
      </c>
      <c r="AF94">
        <v>0.76565656565656504</v>
      </c>
      <c r="AG94">
        <v>0.22222222222222199</v>
      </c>
      <c r="AH94">
        <v>1.01010101010101E-2</v>
      </c>
      <c r="AI94">
        <v>3.5750421585160098E-2</v>
      </c>
      <c r="AJ94">
        <v>0.11976009104578</v>
      </c>
      <c r="AK94">
        <v>0.12816188870151701</v>
      </c>
      <c r="AL94">
        <v>1.0073739328841701E-3</v>
      </c>
      <c r="AM94">
        <v>2.0553616044487698E-2</v>
      </c>
      <c r="AN94">
        <v>7.7571669477234E-3</v>
      </c>
      <c r="AO94">
        <v>1.8461138016874E-3</v>
      </c>
      <c r="AP94">
        <v>1.6819101892079299E-3</v>
      </c>
      <c r="AQ94">
        <v>0</v>
      </c>
    </row>
    <row r="95" spans="1:43" x14ac:dyDescent="0.4">
      <c r="A95" t="s">
        <v>49</v>
      </c>
      <c r="B95" s="3" t="s">
        <v>53</v>
      </c>
      <c r="C95" s="4">
        <f>K95*1.9+G95*2.6+H95*5.2+I95*7.8+J95*10.4+L95*1.9+S95*4.2+M95*2.6+P95*2.6</f>
        <v>1011.8857475719041</v>
      </c>
      <c r="D95" s="2">
        <f>E95-M95-P95-Q95-R95</f>
        <v>486.8591186410564</v>
      </c>
      <c r="E95">
        <v>555</v>
      </c>
      <c r="F95" s="2">
        <f>AD95+J95</f>
        <v>117.64656358781573</v>
      </c>
      <c r="G95" s="2">
        <f>$AD95*AF95</f>
        <v>72.071926858114011</v>
      </c>
      <c r="H95" s="2">
        <f>$AD95*AG95</f>
        <v>24.673658169553406</v>
      </c>
      <c r="I95" s="2">
        <f>$AD95*AH95</f>
        <v>2.0347200747461578</v>
      </c>
      <c r="J95" s="2">
        <f>$E95*AI95</f>
        <v>19.979999999999997</v>
      </c>
      <c r="K95" s="2">
        <f>$E95*AJ95</f>
        <v>72.998214285714269</v>
      </c>
      <c r="L95" s="2">
        <f>$E95*AK95</f>
        <v>67.999999999999716</v>
      </c>
      <c r="M95" s="2">
        <f>$E95*(AB95/100)</f>
        <v>56.247321430500001</v>
      </c>
      <c r="N95" s="2">
        <f>$E95*AL95</f>
        <v>2.3982142857142796</v>
      </c>
      <c r="O95" s="2">
        <f>$E95*(AA95/100)</f>
        <v>161.54464287300002</v>
      </c>
      <c r="P95" s="2">
        <f>$E95*AM95</f>
        <v>8.0935599284436339</v>
      </c>
      <c r="Q95" s="2">
        <f>$E95*AN95</f>
        <v>3.3999999999999964</v>
      </c>
      <c r="R95" s="2">
        <f>$E95*AQ95</f>
        <v>0.39999999999999958</v>
      </c>
      <c r="S95" s="2">
        <f>$E95*AO95</f>
        <v>8.8928571428571299</v>
      </c>
      <c r="T95" s="2">
        <f>$E95*AP95</f>
        <v>2.9973214285714169</v>
      </c>
      <c r="U95" s="2">
        <f>S95-T95</f>
        <v>5.895535714285713</v>
      </c>
      <c r="V95" s="1">
        <f>F95/D95</f>
        <v>0.24164395629724722</v>
      </c>
      <c r="W95" s="1">
        <f>(F95+M95+N95+P95)/(D95+M95+N95+Q95)</f>
        <v>0.33591564175817834</v>
      </c>
      <c r="X95" s="1">
        <f>(G95+H95*2+I95*3+J95*4)/D95</f>
        <v>0.42608507364611936</v>
      </c>
      <c r="Y95" s="1">
        <f>W95+X95</f>
        <v>0.7620007154042977</v>
      </c>
      <c r="Z95">
        <v>0.31634485699999998</v>
      </c>
      <c r="AA95">
        <v>29.10714286</v>
      </c>
      <c r="AB95">
        <v>10.13465251</v>
      </c>
      <c r="AD95" s="2">
        <f>(D95-O95-J95+Q95)*Z95</f>
        <v>97.66656358781573</v>
      </c>
      <c r="AE95">
        <v>0.21010197</v>
      </c>
      <c r="AF95">
        <v>0.73793859649122795</v>
      </c>
      <c r="AG95">
        <v>0.25263157894736799</v>
      </c>
      <c r="AH95">
        <v>2.0833333333333301E-2</v>
      </c>
      <c r="AI95">
        <v>3.5999999999999997E-2</v>
      </c>
      <c r="AJ95">
        <v>0.131528314028314</v>
      </c>
      <c r="AK95">
        <v>0.12252252252252201</v>
      </c>
      <c r="AL95">
        <v>4.3211068211068101E-3</v>
      </c>
      <c r="AM95">
        <v>1.4582990862060601E-2</v>
      </c>
      <c r="AN95">
        <v>6.1261261261261199E-3</v>
      </c>
      <c r="AO95">
        <v>1.6023166023165999E-2</v>
      </c>
      <c r="AP95">
        <v>5.4005791505791299E-3</v>
      </c>
      <c r="AQ95">
        <v>7.2072072072071997E-4</v>
      </c>
    </row>
    <row r="96" spans="1:43" x14ac:dyDescent="0.4">
      <c r="A96" t="s">
        <v>154</v>
      </c>
      <c r="B96" t="s">
        <v>156</v>
      </c>
      <c r="C96" s="4">
        <f>K96*1.9+G96*2.6+H96*5.2+I96*7.8+J96*10.4+L96*1.9+S96*4.2+M96*2.6+P96*2.6</f>
        <v>1011.8838383146774</v>
      </c>
      <c r="D96" s="2">
        <f>E96-M96-P96-Q96-R96</f>
        <v>454.15621629710142</v>
      </c>
      <c r="E96">
        <v>525</v>
      </c>
      <c r="F96" s="2">
        <f>AD96+J96</f>
        <v>118.52829472918174</v>
      </c>
      <c r="G96" s="2">
        <f>$AD96*AF96</f>
        <v>78.829508885772114</v>
      </c>
      <c r="H96" s="2">
        <f>$AD96*AG96</f>
        <v>22.895680565107504</v>
      </c>
      <c r="I96" s="2">
        <f>$AD96*AH96</f>
        <v>2.5543991442613709</v>
      </c>
      <c r="J96" s="2">
        <f>$E96*AI96</f>
        <v>14.999999999999909</v>
      </c>
      <c r="K96" s="2">
        <f>$E96*AJ96</f>
        <v>72.051219512194649</v>
      </c>
      <c r="L96" s="2">
        <f>$E96*AK96</f>
        <v>58.999999999999801</v>
      </c>
      <c r="M96" s="2">
        <f>$E96*(AB96/100)</f>
        <v>64.185365852999993</v>
      </c>
      <c r="N96" s="2">
        <f>$E96*AL96</f>
        <v>4.5573170731707195</v>
      </c>
      <c r="O96" s="2">
        <f>$E96*(AA96/100)</f>
        <v>115.2439024275</v>
      </c>
      <c r="P96" s="2">
        <f>$E96*AM96</f>
        <v>3.01947261663285</v>
      </c>
      <c r="Q96" s="2">
        <f>$E96*AN96</f>
        <v>2.5999999999999934</v>
      </c>
      <c r="R96" s="2">
        <f>$E96*AQ96</f>
        <v>1.0389452332657125</v>
      </c>
      <c r="S96" s="2">
        <f>$E96*AO96</f>
        <v>21.003658536585323</v>
      </c>
      <c r="T96" s="2">
        <f>$E96*AP96</f>
        <v>3.9658536585365725</v>
      </c>
      <c r="U96" s="2">
        <f>S96-T96</f>
        <v>17.03780487804875</v>
      </c>
      <c r="V96" s="1">
        <f>F96/D96</f>
        <v>0.26098573679247516</v>
      </c>
      <c r="W96" s="1">
        <f>(F96+M96+N96+P96)/(D96+M96+N96+Q96)</f>
        <v>0.3621138893977689</v>
      </c>
      <c r="X96" s="1">
        <f>(G96+H96*2+I96*3+J96*4)/D96</f>
        <v>0.42338750533138542</v>
      </c>
      <c r="Y96" s="1">
        <f>W96+X96</f>
        <v>0.78550139472915426</v>
      </c>
      <c r="Z96">
        <v>0.31707317099999999</v>
      </c>
      <c r="AA96">
        <v>21.951219510000001</v>
      </c>
      <c r="AB96">
        <v>12.225783972</v>
      </c>
      <c r="AD96" s="2">
        <f>(D96-O96-J96+Q96)*Z96</f>
        <v>103.52829472918182</v>
      </c>
      <c r="AE96">
        <v>0.230307913</v>
      </c>
      <c r="AF96">
        <v>0.76142960812772098</v>
      </c>
      <c r="AG96">
        <v>0.22115384615384601</v>
      </c>
      <c r="AH96">
        <v>2.46734397677793E-2</v>
      </c>
      <c r="AI96">
        <v>2.8571428571428401E-2</v>
      </c>
      <c r="AJ96">
        <v>0.13724041811846599</v>
      </c>
      <c r="AK96">
        <v>0.112380952380952</v>
      </c>
      <c r="AL96">
        <v>8.6806039488966091E-3</v>
      </c>
      <c r="AM96">
        <v>5.7513764126339998E-3</v>
      </c>
      <c r="AN96">
        <v>4.9523809523809399E-3</v>
      </c>
      <c r="AO96">
        <v>4.0006968641114901E-2</v>
      </c>
      <c r="AP96">
        <v>7.5540069686410903E-3</v>
      </c>
      <c r="AQ96">
        <v>1.9789433014585E-3</v>
      </c>
    </row>
    <row r="97" spans="1:43" x14ac:dyDescent="0.4">
      <c r="A97" t="s">
        <v>223</v>
      </c>
      <c r="B97" s="3" t="s">
        <v>224</v>
      </c>
      <c r="C97" s="4">
        <f>K97*1.9+G97*2.6+H97*5.2+I97*7.8+J97*10.4+L97*1.9+S97*4.2+M97*2.6+P97*2.6</f>
        <v>1009.026568733578</v>
      </c>
      <c r="D97" s="2">
        <f>E97-M97-P97-Q97-R97</f>
        <v>516.73937450633287</v>
      </c>
      <c r="E97">
        <v>566</v>
      </c>
      <c r="F97" s="2">
        <f>AD97+J97</f>
        <v>132.57678891524151</v>
      </c>
      <c r="G97" s="2">
        <f>$AD97*AF97</f>
        <v>82.253623519670342</v>
      </c>
      <c r="H97" s="2">
        <f>$AD97*AG97</f>
        <v>24.985633844373037</v>
      </c>
      <c r="I97" s="2">
        <f>$AD97*AH97</f>
        <v>2.615010191711991</v>
      </c>
      <c r="J97" s="2">
        <f>$E97*AI97</f>
        <v>22.64</v>
      </c>
      <c r="K97" s="2">
        <f>$E97*AJ97</f>
        <v>68.5497536945809</v>
      </c>
      <c r="L97" s="2">
        <f>$E97*AK97</f>
        <v>69.617999999999995</v>
      </c>
      <c r="M97" s="2">
        <f>$E97*(AB97/100)</f>
        <v>40.275205253529997</v>
      </c>
      <c r="N97" s="2">
        <f>$E97*AL97</f>
        <v>0.99293924466336991</v>
      </c>
      <c r="O97" s="2">
        <f>$E97*(AA97/100)</f>
        <v>148.70279148</v>
      </c>
      <c r="P97" s="2">
        <f>$E97*AM97</f>
        <v>4.9854202401372216</v>
      </c>
      <c r="Q97" s="2">
        <f>$E97*AN97</f>
        <v>3.5999999999999597</v>
      </c>
      <c r="R97" s="2">
        <f>$E97*AQ97</f>
        <v>0.39999999999999553</v>
      </c>
      <c r="S97" s="2">
        <f>$E97*AO97</f>
        <v>6.950574712643629</v>
      </c>
      <c r="T97" s="2">
        <f>$E97*AP97</f>
        <v>2.9788177339901156</v>
      </c>
      <c r="U97" s="2">
        <f>S97-T97</f>
        <v>3.9717569786535134</v>
      </c>
      <c r="V97" s="1">
        <f>F97/D97</f>
        <v>0.25656413166095343</v>
      </c>
      <c r="W97" s="1">
        <f>(F97+M97+N97+P97)/(D97+M97+N97+Q97)</f>
        <v>0.31842585364696813</v>
      </c>
      <c r="X97" s="1">
        <f>(G97+H97*2+I97*3+J97*4)/D97</f>
        <v>0.44631768578480158</v>
      </c>
      <c r="Y97" s="1">
        <f>W97+X97</f>
        <v>0.76474353943176965</v>
      </c>
      <c r="Z97">
        <v>0.31500821000000001</v>
      </c>
      <c r="AA97">
        <v>26.272577999999999</v>
      </c>
      <c r="AB97">
        <v>7.1157606455</v>
      </c>
      <c r="AD97" s="2">
        <f>(D97-O97-J97+Q97)*Z97</f>
        <v>109.93678891524151</v>
      </c>
      <c r="AE97">
        <v>0.22865196800000001</v>
      </c>
      <c r="AF97">
        <v>0.74819015846538695</v>
      </c>
      <c r="AG97">
        <v>0.22727272727272699</v>
      </c>
      <c r="AH97">
        <v>2.37864887406171E-2</v>
      </c>
      <c r="AI97">
        <v>0.04</v>
      </c>
      <c r="AJ97">
        <v>0.121112639036362</v>
      </c>
      <c r="AK97">
        <v>0.123</v>
      </c>
      <c r="AL97">
        <v>1.7543096195465899E-3</v>
      </c>
      <c r="AM97">
        <v>8.8081629684403206E-3</v>
      </c>
      <c r="AN97">
        <v>6.3604240282684804E-3</v>
      </c>
      <c r="AO97">
        <v>1.22801673368262E-2</v>
      </c>
      <c r="AP97">
        <v>5.26292885863978E-3</v>
      </c>
      <c r="AQ97">
        <v>7.0671378091871997E-4</v>
      </c>
    </row>
    <row r="98" spans="1:43" x14ac:dyDescent="0.4">
      <c r="A98" t="s">
        <v>229</v>
      </c>
      <c r="B98" t="s">
        <v>238</v>
      </c>
      <c r="C98" s="4">
        <f>K98*1.9+G98*2.6+H98*5.2+I98*7.8+J98*10.4+L98*1.9+S98*4.2+M98*2.6+P98*2.6</f>
        <v>1007.8420776571911</v>
      </c>
      <c r="D98" s="2">
        <f>E98-M98-P98-Q98-R98</f>
        <v>473.800281822827</v>
      </c>
      <c r="E98">
        <v>552</v>
      </c>
      <c r="F98" s="2">
        <f>AD98+J98</f>
        <v>117.32415767336741</v>
      </c>
      <c r="G98" s="2">
        <f>$AD98*AF98</f>
        <v>73.147644240484112</v>
      </c>
      <c r="H98" s="2">
        <f>$AD98*AG98</f>
        <v>22.165952800146638</v>
      </c>
      <c r="I98" s="2">
        <f>$AD98*AH98</f>
        <v>1.0117855967148233</v>
      </c>
      <c r="J98" s="2">
        <f>$E98*AI98</f>
        <v>20.599999999999973</v>
      </c>
      <c r="K98" s="2">
        <f>$E98*AJ98</f>
        <v>68.712292358803609</v>
      </c>
      <c r="L98" s="2">
        <f>$E98*AK98</f>
        <v>67.999999999999744</v>
      </c>
      <c r="M98" s="2">
        <f>$E98*(AB98/100)</f>
        <v>58.068438556319997</v>
      </c>
      <c r="N98" s="2">
        <f>$E98*AL98</f>
        <v>1.4833887043189213</v>
      </c>
      <c r="O98" s="2">
        <f>$E98*(AA98/100)</f>
        <v>136.6245846912</v>
      </c>
      <c r="P98" s="2">
        <f>$E98*AM98</f>
        <v>17.131279620853014</v>
      </c>
      <c r="Q98" s="2">
        <f>$E98*AN98</f>
        <v>2.9999999999999711</v>
      </c>
      <c r="R98" s="2">
        <f>$E98*AQ98</f>
        <v>0</v>
      </c>
      <c r="S98" s="2">
        <f>$E98*AO98</f>
        <v>5.9501661129567776</v>
      </c>
      <c r="T98" s="2">
        <f>$E98*AP98</f>
        <v>1.9833887043189347</v>
      </c>
      <c r="U98" s="2">
        <f>S98-T98</f>
        <v>3.9667774086378431</v>
      </c>
      <c r="V98" s="1">
        <f>F98/D98</f>
        <v>0.24762365531314656</v>
      </c>
      <c r="W98" s="1">
        <f>(F98+M98+N98+P98)/(D98+M98+N98+Q98)</f>
        <v>0.36171623317820928</v>
      </c>
      <c r="X98" s="1">
        <f>(G98+H98*2+I98*3+J98*4)/D98</f>
        <v>0.42827097073530196</v>
      </c>
      <c r="Y98" s="1">
        <f>W98+X98</f>
        <v>0.78998720391351118</v>
      </c>
      <c r="Z98">
        <v>0.3026643094</v>
      </c>
      <c r="AA98">
        <v>24.750830560000001</v>
      </c>
      <c r="AB98">
        <v>10.519644666</v>
      </c>
      <c r="AD98" s="2">
        <f>(D98-O98-J98+Q98)*Z98</f>
        <v>96.724157673367429</v>
      </c>
      <c r="AE98">
        <v>0.212618592</v>
      </c>
      <c r="AF98">
        <v>0.75624999999999998</v>
      </c>
      <c r="AG98">
        <v>0.22916666666666599</v>
      </c>
      <c r="AH98">
        <v>1.0460526315789399E-2</v>
      </c>
      <c r="AI98">
        <v>3.7318840579710098E-2</v>
      </c>
      <c r="AJ98">
        <v>0.124478790505079</v>
      </c>
      <c r="AK98">
        <v>0.123188405797101</v>
      </c>
      <c r="AL98">
        <v>2.6872983773893501E-3</v>
      </c>
      <c r="AM98">
        <v>3.10349268493714E-2</v>
      </c>
      <c r="AN98">
        <v>5.4347826086956E-3</v>
      </c>
      <c r="AO98">
        <v>1.0779286436515901E-2</v>
      </c>
      <c r="AP98">
        <v>3.5930954788386499E-3</v>
      </c>
      <c r="AQ98">
        <v>0</v>
      </c>
    </row>
    <row r="99" spans="1:43" x14ac:dyDescent="0.4">
      <c r="A99" t="s">
        <v>122</v>
      </c>
      <c r="B99" t="s">
        <v>127</v>
      </c>
      <c r="C99" s="4">
        <f>K99*1.9+G99*2.6+H99*5.2+I99*7.8+J99*10.4+L99*1.9+S99*4.2+M99*2.6+P99*2.6</f>
        <v>1006.6348357116485</v>
      </c>
      <c r="D99" s="2">
        <f>E99-M99-P99-Q99-R99</f>
        <v>538.19029200610771</v>
      </c>
      <c r="E99">
        <v>585</v>
      </c>
      <c r="F99" s="2">
        <f>AD99+J99</f>
        <v>135.58558538536909</v>
      </c>
      <c r="G99" s="2">
        <f>$AD99*AF99</f>
        <v>84.821568108485593</v>
      </c>
      <c r="H99" s="2">
        <f>$AD99*AG99</f>
        <v>26.61674513779445</v>
      </c>
      <c r="I99" s="2">
        <f>$AD99*AH99</f>
        <v>0.99305831969753888</v>
      </c>
      <c r="J99" s="2">
        <f>$E99*AI99</f>
        <v>23.999999999999982</v>
      </c>
      <c r="K99" s="2">
        <f>$E99*AJ99</f>
        <v>63.052941176470441</v>
      </c>
      <c r="L99" s="2">
        <f>$E99*AK99</f>
        <v>86</v>
      </c>
      <c r="M99" s="2">
        <f>$E99*(AB99/100)</f>
        <v>31.054411764090002</v>
      </c>
      <c r="N99" s="2">
        <f>$E99*AL99</f>
        <v>4.3691176470588013</v>
      </c>
      <c r="O99" s="2">
        <f>$E99*(AA99/100)</f>
        <v>129.0441176505</v>
      </c>
      <c r="P99" s="2">
        <f>$E99*AM99</f>
        <v>10.155296229802424</v>
      </c>
      <c r="Q99" s="2">
        <f>$E99*AN99</f>
        <v>5.5999999999999632</v>
      </c>
      <c r="R99" s="2">
        <f>$E99*AQ99</f>
        <v>0</v>
      </c>
      <c r="S99" s="2">
        <f>$E99*AO99</f>
        <v>0</v>
      </c>
      <c r="T99" s="2">
        <f>$E99*AP99</f>
        <v>0</v>
      </c>
      <c r="U99" s="2">
        <f>S99-T99</f>
        <v>0</v>
      </c>
      <c r="V99" s="1">
        <f>F99/D99</f>
        <v>0.25192870885866958</v>
      </c>
      <c r="W99" s="1">
        <f>(F99+M99+N99+P99)/(D99+M99+N99+Q99)</f>
        <v>0.31277639505051164</v>
      </c>
      <c r="X99" s="1">
        <f>(G99+H99*2+I99*3+J99*4)/D99</f>
        <v>0.4404282962065712</v>
      </c>
      <c r="Y99" s="1">
        <f>W99+X99</f>
        <v>0.75320469125708289</v>
      </c>
      <c r="Z99">
        <v>0.28557051280000001</v>
      </c>
      <c r="AA99">
        <v>22.058823530000002</v>
      </c>
      <c r="AB99">
        <v>5.3084464554000004</v>
      </c>
      <c r="AD99" s="2">
        <f>(D99-O99-J99+Q99)*Z99</f>
        <v>111.5855853853691</v>
      </c>
      <c r="AE99">
        <v>0.23419637700000001</v>
      </c>
      <c r="AF99">
        <v>0.76014807661355199</v>
      </c>
      <c r="AG99">
        <v>0.23853211009174299</v>
      </c>
      <c r="AH99">
        <v>8.8995215311004402E-3</v>
      </c>
      <c r="AI99">
        <v>4.1025641025640998E-2</v>
      </c>
      <c r="AJ99">
        <v>0.107782805429864</v>
      </c>
      <c r="AK99">
        <v>0.14700854700854701</v>
      </c>
      <c r="AL99">
        <v>7.4685771744594899E-3</v>
      </c>
      <c r="AM99">
        <v>1.7359480734704998E-2</v>
      </c>
      <c r="AN99">
        <v>9.5726495726495102E-3</v>
      </c>
      <c r="AO99">
        <v>0</v>
      </c>
      <c r="AP99">
        <v>0</v>
      </c>
      <c r="AQ99">
        <v>0</v>
      </c>
    </row>
    <row r="100" spans="1:43" x14ac:dyDescent="0.4">
      <c r="A100" t="s">
        <v>257</v>
      </c>
      <c r="B100" t="s">
        <v>259</v>
      </c>
      <c r="C100" s="4">
        <f>K100*1.9+G100*2.6+H100*5.2+I100*7.8+J100*10.4+L100*1.9+S100*4.2+M100*2.6+P100*2.6</f>
        <v>1004.1184651922767</v>
      </c>
      <c r="D100" s="2">
        <f>E100-M100-P100-Q100-R100</f>
        <v>541.11338548971742</v>
      </c>
      <c r="E100">
        <v>596</v>
      </c>
      <c r="F100" s="2">
        <f>AD100+J100</f>
        <v>139.4882724053231</v>
      </c>
      <c r="G100" s="2">
        <f>$AD100*AF100</f>
        <v>99.148430674973696</v>
      </c>
      <c r="H100" s="2">
        <f>$AD100*AG100</f>
        <v>25.292967008921831</v>
      </c>
      <c r="I100" s="2">
        <f>$AD100*AH100</f>
        <v>3.0256711784422681</v>
      </c>
      <c r="J100" s="2">
        <f>$E100*AI100</f>
        <v>10.999999999999956</v>
      </c>
      <c r="K100" s="2">
        <f>$E100*AJ100</f>
        <v>69.858084772370418</v>
      </c>
      <c r="L100" s="2">
        <f>$E100*AK100</f>
        <v>58.999999999999979</v>
      </c>
      <c r="M100" s="2">
        <f>$E100*(AB100/100)</f>
        <v>30.987598116839997</v>
      </c>
      <c r="N100" s="2">
        <f>$E100*AL100</f>
        <v>1.9871271585556878</v>
      </c>
      <c r="O100" s="2">
        <f>$E100*(AA100/100)</f>
        <v>100.11302985079999</v>
      </c>
      <c r="P100" s="2">
        <f>$E100*AM100</f>
        <v>16.354098360655726</v>
      </c>
      <c r="Q100" s="2">
        <f>$E100*AN100</f>
        <v>3.9999999999999671</v>
      </c>
      <c r="R100" s="2">
        <f>$E100*AQ100</f>
        <v>3.5449180327868595</v>
      </c>
      <c r="S100" s="2">
        <f>$E100*AO100</f>
        <v>25.926216640502314</v>
      </c>
      <c r="T100" s="2">
        <f>$E100*AP100</f>
        <v>4.9678178963892918</v>
      </c>
      <c r="U100" s="2">
        <f>S100-T100</f>
        <v>20.958398744113023</v>
      </c>
      <c r="V100" s="1">
        <f>F100/D100</f>
        <v>0.25778011807836482</v>
      </c>
      <c r="W100" s="1">
        <f>(F100+M100+N100+P100)/(D100+M100+N100+Q100)</f>
        <v>0.32662338582170575</v>
      </c>
      <c r="X100" s="1">
        <f>(G100+H100*2+I100*3+J100*4)/D100</f>
        <v>0.37480384641491732</v>
      </c>
      <c r="Y100" s="1">
        <f>W100+X100</f>
        <v>0.70142723223662307</v>
      </c>
      <c r="Z100">
        <v>0.29605568459999998</v>
      </c>
      <c r="AA100">
        <v>16.797488229999999</v>
      </c>
      <c r="AB100">
        <v>5.1992614289999999</v>
      </c>
      <c r="AD100" s="2">
        <f>(D100-O100-J100+Q100)*Z100</f>
        <v>128.48827240532316</v>
      </c>
      <c r="AE100">
        <v>0.23205903899999999</v>
      </c>
      <c r="AF100">
        <v>0.77165354330708602</v>
      </c>
      <c r="AG100">
        <v>0.196850393700787</v>
      </c>
      <c r="AH100">
        <v>2.35482283464566E-2</v>
      </c>
      <c r="AI100">
        <v>1.8456375838926099E-2</v>
      </c>
      <c r="AJ100">
        <v>0.11721155163149399</v>
      </c>
      <c r="AK100">
        <v>9.8993288590603995E-2</v>
      </c>
      <c r="AL100">
        <v>3.3341059707310198E-3</v>
      </c>
      <c r="AM100">
        <v>2.7439762350093499E-2</v>
      </c>
      <c r="AN100">
        <v>6.7114093959730996E-3</v>
      </c>
      <c r="AO100">
        <v>4.3500363490775698E-2</v>
      </c>
      <c r="AP100">
        <v>8.3352649268276704E-3</v>
      </c>
      <c r="AQ100">
        <v>5.9478490483000999E-3</v>
      </c>
    </row>
    <row r="101" spans="1:43" x14ac:dyDescent="0.4">
      <c r="A101" t="s">
        <v>31</v>
      </c>
      <c r="B101" s="3" t="s">
        <v>38</v>
      </c>
      <c r="C101" s="4">
        <f>K101*1.9+G101*2.6+H101*5.2+I101*7.8+J101*10.4+L101*1.9+S101*4.2+M101*2.6+P101*2.6</f>
        <v>999.38252640760254</v>
      </c>
      <c r="D101" s="2">
        <f>E101-M101-P101-Q101-R101</f>
        <v>529.29078844812977</v>
      </c>
      <c r="E101">
        <v>582</v>
      </c>
      <c r="F101" s="2">
        <f>AD101+J101</f>
        <v>119.17197808305717</v>
      </c>
      <c r="G101" s="2">
        <f>$AD101*AF101</f>
        <v>72.711559505549701</v>
      </c>
      <c r="H101" s="2">
        <f>$AD101*AG101</f>
        <v>24.138661353468372</v>
      </c>
      <c r="I101" s="2">
        <f>$AD101*AH101</f>
        <v>2.040460901596834</v>
      </c>
      <c r="J101" s="2">
        <f>$E101*AI101</f>
        <v>19.599999999999952</v>
      </c>
      <c r="K101" s="2">
        <f>$E101*AJ101</f>
        <v>69.262857142856703</v>
      </c>
      <c r="L101" s="2">
        <f>$E101*AK101</f>
        <v>59.999999999999623</v>
      </c>
      <c r="M101" s="2">
        <f>$E101*(AB101/100)</f>
        <v>42.419047617444001</v>
      </c>
      <c r="N101" s="2">
        <f>$E101*AL101</f>
        <v>0</v>
      </c>
      <c r="O101" s="2">
        <f>$E101*(AA101/100)</f>
        <v>181.99047619139998</v>
      </c>
      <c r="P101" s="2">
        <f>$E101*AM101</f>
        <v>4.8180327868852331</v>
      </c>
      <c r="Q101" s="2">
        <f>$E101*AN101</f>
        <v>3.399999999999971</v>
      </c>
      <c r="R101" s="2">
        <f>$E101*AQ101</f>
        <v>2.0721311475409538</v>
      </c>
      <c r="S101" s="2">
        <f>$E101*AO101</f>
        <v>23.009523809523799</v>
      </c>
      <c r="T101" s="2">
        <f>$E101*AP101</f>
        <v>4.9619047619047496</v>
      </c>
      <c r="U101" s="2">
        <f>S101-T101</f>
        <v>18.047619047619051</v>
      </c>
      <c r="V101" s="1">
        <f>F101/D101</f>
        <v>0.22515407538541729</v>
      </c>
      <c r="W101" s="1">
        <f>(F101+M101+N101+P101)/(D101+M101+N101+Q101)</f>
        <v>0.28935178647929177</v>
      </c>
      <c r="X101" s="1">
        <f>(G101+H101*2+I101*3+J101*4)/D101</f>
        <v>0.38827478090036066</v>
      </c>
      <c r="Y101" s="1">
        <f>W101+X101</f>
        <v>0.67762656737965243</v>
      </c>
      <c r="Z101">
        <v>0.30073054719999998</v>
      </c>
      <c r="AA101">
        <v>31.269841270000001</v>
      </c>
      <c r="AB101">
        <v>7.2884961541999997</v>
      </c>
      <c r="AD101" s="2">
        <f>(D101-O101-J101+Q101)*Z101</f>
        <v>99.571978083057218</v>
      </c>
      <c r="AE101">
        <v>0.20247869499999999</v>
      </c>
      <c r="AF101">
        <v>0.73024118738404398</v>
      </c>
      <c r="AG101">
        <v>0.24242424242424199</v>
      </c>
      <c r="AH101">
        <v>2.0492320639595999E-2</v>
      </c>
      <c r="AI101">
        <v>3.3676975945017097E-2</v>
      </c>
      <c r="AJ101">
        <v>0.119008345606283</v>
      </c>
      <c r="AK101">
        <v>0.103092783505154</v>
      </c>
      <c r="AL101">
        <v>0</v>
      </c>
      <c r="AM101">
        <v>8.2784068503182692E-3</v>
      </c>
      <c r="AN101">
        <v>5.8419243986253802E-3</v>
      </c>
      <c r="AO101">
        <v>3.9535264277532303E-2</v>
      </c>
      <c r="AP101">
        <v>8.52560955653737E-3</v>
      </c>
      <c r="AQ101">
        <v>3.5603627964621199E-3</v>
      </c>
    </row>
    <row r="102" spans="1:43" x14ac:dyDescent="0.4">
      <c r="A102" t="s">
        <v>257</v>
      </c>
      <c r="B102" t="s">
        <v>261</v>
      </c>
      <c r="C102" s="4">
        <f>K102*1.9+G102*2.6+H102*5.2+I102*7.8+J102*10.4+L102*1.9+S102*4.2+M102*2.6+P102*2.6</f>
        <v>998.6886118235451</v>
      </c>
      <c r="D102" s="2">
        <f>E102-M102-P102-Q102-R102</f>
        <v>560.16503934211539</v>
      </c>
      <c r="E102">
        <v>600</v>
      </c>
      <c r="F102" s="2">
        <f>AD102+J102</f>
        <v>154.22215372288545</v>
      </c>
      <c r="G102" s="2">
        <f>$AD102*AF102</f>
        <v>108.50434232011813</v>
      </c>
      <c r="H102" s="2">
        <f>$AD102*AG102</f>
        <v>27.199986597955796</v>
      </c>
      <c r="I102" s="2">
        <f>$AD102*AH102</f>
        <v>1.6149184488768837</v>
      </c>
      <c r="J102" s="2">
        <f>$E102*AI102</f>
        <v>15.199999999999921</v>
      </c>
      <c r="K102" s="2">
        <f>$E102*AJ102</f>
        <v>72.231168831168603</v>
      </c>
      <c r="L102" s="2">
        <f>$E102*AK102</f>
        <v>70.999999999999801</v>
      </c>
      <c r="M102" s="2">
        <f>$E102*(AB102/100)</f>
        <v>32.306493504599999</v>
      </c>
      <c r="N102" s="2">
        <f>$E102*AL102</f>
        <v>0.5974025974025754</v>
      </c>
      <c r="O102" s="2">
        <f>$E102*(AA102/100)</f>
        <v>114.93506496000001</v>
      </c>
      <c r="P102" s="2">
        <f>$E102*AM102</f>
        <v>3.9284671532846338</v>
      </c>
      <c r="Q102" s="2">
        <f>$E102*AN102</f>
        <v>3.5999999999999761</v>
      </c>
      <c r="R102" s="2">
        <f>$E102*AQ102</f>
        <v>0</v>
      </c>
      <c r="S102" s="2">
        <f>$E102*AO102</f>
        <v>9.0740259740259592</v>
      </c>
      <c r="T102" s="2">
        <f>$E102*AP102</f>
        <v>2.9922077922077879</v>
      </c>
      <c r="U102" s="2">
        <f>S102-T102</f>
        <v>6.0818181818181714</v>
      </c>
      <c r="V102" s="1">
        <f>F102/D102</f>
        <v>0.27531556397023871</v>
      </c>
      <c r="W102" s="1">
        <f>(F102+M102+N102+P102)/(D102+M102+N102+Q102)</f>
        <v>0.32020188353859119</v>
      </c>
      <c r="X102" s="1">
        <f>(G102+H102*2+I102*3+J102*4)/D102</f>
        <v>0.40800309696420722</v>
      </c>
      <c r="Y102" s="1">
        <f>W102+X102</f>
        <v>0.72820498050279836</v>
      </c>
      <c r="Z102">
        <v>0.32060088539999998</v>
      </c>
      <c r="AA102">
        <v>19.155844160000001</v>
      </c>
      <c r="AB102">
        <v>5.3844155841000001</v>
      </c>
      <c r="AD102" s="2">
        <f>(D102-O102-J102+Q102)*Z102</f>
        <v>139.02215372288552</v>
      </c>
      <c r="AE102">
        <v>0.254929825</v>
      </c>
      <c r="AF102">
        <v>0.78048238654395397</v>
      </c>
      <c r="AG102">
        <v>0.19565217391304299</v>
      </c>
      <c r="AH102">
        <v>1.1616266944733999E-2</v>
      </c>
      <c r="AI102">
        <v>2.5333333333333201E-2</v>
      </c>
      <c r="AJ102">
        <v>0.120385281385281</v>
      </c>
      <c r="AK102">
        <v>0.118333333333333</v>
      </c>
      <c r="AL102">
        <v>9.9567099567095902E-4</v>
      </c>
      <c r="AM102">
        <v>6.5474452554743897E-3</v>
      </c>
      <c r="AN102">
        <v>5.9999999999999602E-3</v>
      </c>
      <c r="AO102">
        <v>1.5123376623376599E-2</v>
      </c>
      <c r="AP102">
        <v>4.9870129870129799E-3</v>
      </c>
      <c r="AQ102">
        <v>0</v>
      </c>
    </row>
    <row r="103" spans="1:43" x14ac:dyDescent="0.4">
      <c r="A103" t="s">
        <v>129</v>
      </c>
      <c r="B103" t="s">
        <v>134</v>
      </c>
      <c r="C103" s="4">
        <f>K103*1.9+G103*2.6+H103*5.2+I103*7.8+J103*10.4+L103*1.9+S103*4.2+M103*2.6+P103*2.6</f>
        <v>993.28999992998638</v>
      </c>
      <c r="D103" s="2">
        <f>E103-M103-P103-Q103-R103</f>
        <v>399.39141698823397</v>
      </c>
      <c r="E103">
        <v>464</v>
      </c>
      <c r="F103" s="2">
        <f>AD103+J103</f>
        <v>101.75277511245091</v>
      </c>
      <c r="G103" s="2">
        <f>$AD103*AF103</f>
        <v>52.682771780325446</v>
      </c>
      <c r="H103" s="2">
        <f>$AD103*AG103</f>
        <v>19.408625029592333</v>
      </c>
      <c r="I103" s="2">
        <f>$AD103*AH103</f>
        <v>2.5673939012118034</v>
      </c>
      <c r="J103" s="2">
        <f>$E103*AI103</f>
        <v>28</v>
      </c>
      <c r="K103" s="2">
        <f>$E103*AJ103</f>
        <v>66.448120300751441</v>
      </c>
      <c r="L103" s="2">
        <f>$E103*AK103</f>
        <v>66.999999999999574</v>
      </c>
      <c r="M103" s="2">
        <f>$E103*(AB103/100)</f>
        <v>54.994736857919996</v>
      </c>
      <c r="N103" s="2">
        <f>$E103*AL103</f>
        <v>4.0360902255639042</v>
      </c>
      <c r="O103" s="2">
        <f>$E103*(AA103/100)</f>
        <v>124.72180452000001</v>
      </c>
      <c r="P103" s="2">
        <f>$E103*AM103</f>
        <v>7.0138461538461119</v>
      </c>
      <c r="Q103" s="2">
        <f>$E103*AN103</f>
        <v>2.5999999999999912</v>
      </c>
      <c r="R103" s="2">
        <f>$E103*AQ103</f>
        <v>0</v>
      </c>
      <c r="S103" s="2">
        <f>$E103*AO103</f>
        <v>6.997744360902213</v>
      </c>
      <c r="T103" s="2">
        <f>$E103*AP103</f>
        <v>1.9744360902255609</v>
      </c>
      <c r="U103" s="2">
        <f>S103-T103</f>
        <v>5.0233082706766519</v>
      </c>
      <c r="V103" s="1">
        <f>F103/D103</f>
        <v>0.25476955884469726</v>
      </c>
      <c r="W103" s="1">
        <f>(F103+M103+N103+P103)/(D103+M103+N103+Q103)</f>
        <v>0.36396822606172974</v>
      </c>
      <c r="X103" s="1">
        <f>(G103+H103*2+I103*3+J103*4)/D103</f>
        <v>0.52881007092189847</v>
      </c>
      <c r="Y103" s="1">
        <f>W103+X103</f>
        <v>0.89277829698362821</v>
      </c>
      <c r="Z103">
        <v>0.29587551560000003</v>
      </c>
      <c r="AA103">
        <v>26.879699250000002</v>
      </c>
      <c r="AB103">
        <v>11.852313978</v>
      </c>
      <c r="AD103" s="2">
        <f>(D103-O103-J103+Q103)*Z103</f>
        <v>73.752775112450905</v>
      </c>
      <c r="AE103">
        <v>0.221158099</v>
      </c>
      <c r="AF103">
        <v>0.71431578947368402</v>
      </c>
      <c r="AG103">
        <v>0.26315789473684198</v>
      </c>
      <c r="AH103">
        <v>3.4810810810810798E-2</v>
      </c>
      <c r="AI103">
        <v>6.0344827586206899E-2</v>
      </c>
      <c r="AJ103">
        <v>0.14320715582058499</v>
      </c>
      <c r="AK103">
        <v>0.14439655172413701</v>
      </c>
      <c r="AL103">
        <v>8.6984703137153105E-3</v>
      </c>
      <c r="AM103">
        <v>1.5116047745358E-2</v>
      </c>
      <c r="AN103">
        <v>5.6034482758620498E-3</v>
      </c>
      <c r="AO103">
        <v>1.5081345605392701E-2</v>
      </c>
      <c r="AP103">
        <v>4.25525019445164E-3</v>
      </c>
      <c r="AQ103">
        <v>0</v>
      </c>
    </row>
    <row r="104" spans="1:43" x14ac:dyDescent="0.4">
      <c r="A104" t="s">
        <v>72</v>
      </c>
      <c r="B104" s="3" t="s">
        <v>77</v>
      </c>
      <c r="C104" s="4">
        <f>K104*1.9+G104*2.6+H104*5.2+I104*7.8+J104*10.4+L104*1.9+S104*4.2+M104*2.6+P104*2.6</f>
        <v>990.67501022031001</v>
      </c>
      <c r="D104" s="2">
        <f>E104-M104-P104-Q104-R104</f>
        <v>509.61218494252574</v>
      </c>
      <c r="E104">
        <v>578</v>
      </c>
      <c r="F104" s="2">
        <f>AD104+J104</f>
        <v>118.87471515773271</v>
      </c>
      <c r="G104" s="2">
        <f>$AD104*AF104</f>
        <v>71.248155347962836</v>
      </c>
      <c r="H104" s="2">
        <f>$AD104*AG104</f>
        <v>24.315393441088506</v>
      </c>
      <c r="I104" s="2">
        <f>$AD104*AH104</f>
        <v>1.9734356942785047</v>
      </c>
      <c r="J104" s="2">
        <f>$E104*AI104</f>
        <v>20.599999999999941</v>
      </c>
      <c r="K104" s="2">
        <f>$E104*AJ104</f>
        <v>69.969285714285547</v>
      </c>
      <c r="L104" s="2">
        <f>$E104*AK104</f>
        <v>71.999999999999474</v>
      </c>
      <c r="M104" s="2">
        <f>$E104*(AB104/100)</f>
        <v>57.286428575671941</v>
      </c>
      <c r="N104" s="2">
        <f>$E104*AL104</f>
        <v>1.0032142857142425</v>
      </c>
      <c r="O104" s="2">
        <f>$E104*(AA104/100)</f>
        <v>158.95000000000002</v>
      </c>
      <c r="P104" s="2">
        <f>$E104*AM104</f>
        <v>7.1013864818023702</v>
      </c>
      <c r="Q104" s="2">
        <f>$E104*AN104</f>
        <v>3.9999999999999449</v>
      </c>
      <c r="R104" s="2">
        <f>$E104*AQ104</f>
        <v>0</v>
      </c>
      <c r="S104" s="2">
        <f>$E104*AO104</f>
        <v>2.906428571428556</v>
      </c>
      <c r="T104" s="2">
        <f>$E104*AP104</f>
        <v>1.0032142857142425</v>
      </c>
      <c r="U104" s="2">
        <f>S104-T104</f>
        <v>1.9032142857143135</v>
      </c>
      <c r="V104" s="1">
        <f>F104/D104</f>
        <v>0.23326505658639116</v>
      </c>
      <c r="W104" s="1">
        <f>(F104+M104+N104+P104)/(D104+M104+N104+Q104)</f>
        <v>0.32219820875288502</v>
      </c>
      <c r="X104" s="1">
        <f>(G104+H104*2+I104*3+J104*4)/D104</f>
        <v>0.40854448826896844</v>
      </c>
      <c r="Y104" s="1">
        <f>W104+X104</f>
        <v>0.73074269702185346</v>
      </c>
      <c r="Z104">
        <v>0.29418090279999998</v>
      </c>
      <c r="AA104">
        <v>27.5</v>
      </c>
      <c r="AB104">
        <v>9.9111468123999895</v>
      </c>
      <c r="AD104" s="2">
        <f>(D104-O104-J104+Q104)*Z104</f>
        <v>98.274715157732771</v>
      </c>
      <c r="AE104">
        <v>0.20770799300000001</v>
      </c>
      <c r="AF104">
        <v>0.72498969072164898</v>
      </c>
      <c r="AG104">
        <v>0.247422680412371</v>
      </c>
      <c r="AH104">
        <v>2.0080808080808001E-2</v>
      </c>
      <c r="AI104">
        <v>3.5640138408304399E-2</v>
      </c>
      <c r="AJ104">
        <v>0.121054127533366</v>
      </c>
      <c r="AK104">
        <v>0.124567474048442</v>
      </c>
      <c r="AL104">
        <v>1.7356648541768901E-3</v>
      </c>
      <c r="AM104">
        <v>1.2286135781665E-2</v>
      </c>
      <c r="AN104">
        <v>6.9204152249133996E-3</v>
      </c>
      <c r="AO104">
        <v>5.0284231339594396E-3</v>
      </c>
      <c r="AP104">
        <v>1.7356648541768901E-3</v>
      </c>
      <c r="AQ104">
        <v>0</v>
      </c>
    </row>
    <row r="105" spans="1:43" x14ac:dyDescent="0.4">
      <c r="A105" t="s">
        <v>206</v>
      </c>
      <c r="B105" t="s">
        <v>209</v>
      </c>
      <c r="C105" s="4">
        <f>K105*1.9+G105*2.6+H105*5.2+I105*7.8+J105*10.4+L105*1.9+S105*4.2+M105*2.6+P105*2.6</f>
        <v>988.76824355258532</v>
      </c>
      <c r="D105" s="2">
        <f>E105-M105-P105-Q105-R105</f>
        <v>528.92749939657074</v>
      </c>
      <c r="E105">
        <v>600</v>
      </c>
      <c r="F105" s="2">
        <f>AD105+J105</f>
        <v>127.58290028809293</v>
      </c>
      <c r="G105" s="2">
        <f>$AD105*AF105</f>
        <v>81.892808089572767</v>
      </c>
      <c r="H105" s="2">
        <f>$AD105*AG105</f>
        <v>26.804763785650518</v>
      </c>
      <c r="I105" s="2">
        <f>$AD105*AH105</f>
        <v>3.6058789378315548</v>
      </c>
      <c r="J105" s="2">
        <f>$E105*AI105</f>
        <v>15.399999999999961</v>
      </c>
      <c r="K105" s="2">
        <f>$E105*AJ105</f>
        <v>69.027287319421802</v>
      </c>
      <c r="L105" s="2">
        <f>$E105*AK105</f>
        <v>66.999999999999602</v>
      </c>
      <c r="M105" s="2">
        <f>$E105*(AB105/100)</f>
        <v>54.893258428799996</v>
      </c>
      <c r="N105" s="2">
        <f>$E105*AL105</f>
        <v>1.396308186195798</v>
      </c>
      <c r="O105" s="2">
        <f>$E105*(AA105/100)</f>
        <v>111.71749596000001</v>
      </c>
      <c r="P105" s="2">
        <f>$E105*AM105</f>
        <v>10.186161449752801</v>
      </c>
      <c r="Q105" s="2">
        <f>$E105*AN105</f>
        <v>4.9999999999999805</v>
      </c>
      <c r="R105" s="2">
        <f>$E105*AQ105</f>
        <v>0.99308072487641996</v>
      </c>
      <c r="S105" s="2">
        <f>$E105*AO105</f>
        <v>4.885232744783286</v>
      </c>
      <c r="T105" s="2">
        <f>$E105*AP105</f>
        <v>1.092616372391616</v>
      </c>
      <c r="U105" s="2">
        <f>S105-T105</f>
        <v>3.7926163723916702</v>
      </c>
      <c r="V105" s="1">
        <f>F105/D105</f>
        <v>0.24121056370418714</v>
      </c>
      <c r="W105" s="1">
        <f>(F105+M105+N105+P105)/(D105+M105+N105+Q105)</f>
        <v>0.32879196405520161</v>
      </c>
      <c r="X105" s="1">
        <f>(G105+H105*2+I105*3+J105*4)/D105</f>
        <v>0.39309730106975854</v>
      </c>
      <c r="Y105" s="1">
        <f>W105+X105</f>
        <v>0.72188926512496021</v>
      </c>
      <c r="Z105">
        <v>0.27576239359999999</v>
      </c>
      <c r="AA105">
        <v>18.619582659999999</v>
      </c>
      <c r="AB105">
        <v>9.1488764047999993</v>
      </c>
      <c r="AD105" s="2">
        <f>(D105-O105-J105+Q105)*Z105</f>
        <v>112.18290028809297</v>
      </c>
      <c r="AE105">
        <v>0.21284771299999999</v>
      </c>
      <c r="AF105">
        <v>0.72999367888748401</v>
      </c>
      <c r="AG105">
        <v>0.238938053097345</v>
      </c>
      <c r="AH105">
        <v>3.2142857142857098E-2</v>
      </c>
      <c r="AI105">
        <v>2.5666666666666602E-2</v>
      </c>
      <c r="AJ105">
        <v>0.115045478865703</v>
      </c>
      <c r="AK105">
        <v>0.111666666666666</v>
      </c>
      <c r="AL105">
        <v>2.32718031032633E-3</v>
      </c>
      <c r="AM105">
        <v>1.6976935749588001E-2</v>
      </c>
      <c r="AN105">
        <v>8.3333333333333003E-3</v>
      </c>
      <c r="AO105">
        <v>8.1420545746388098E-3</v>
      </c>
      <c r="AP105">
        <v>1.8210272873193599E-3</v>
      </c>
      <c r="AQ105">
        <v>1.6551345414607E-3</v>
      </c>
    </row>
    <row r="106" spans="1:43" x14ac:dyDescent="0.4">
      <c r="A106" t="s">
        <v>229</v>
      </c>
      <c r="B106" s="3" t="s">
        <v>235</v>
      </c>
      <c r="C106" s="4">
        <f>K106*1.9+G106*2.6+H106*5.2+I106*7.8+J106*10.4+L106*1.9+S106*4.2+M106*2.6+P106*2.6</f>
        <v>985.12394957794561</v>
      </c>
      <c r="D106" s="2">
        <f>E106-M106-P106-Q106-R106</f>
        <v>566.1322566959268</v>
      </c>
      <c r="E106">
        <v>615</v>
      </c>
      <c r="F106" s="2">
        <f>AD106+J106</f>
        <v>144.4535290917824</v>
      </c>
      <c r="G106" s="2">
        <f>$AD106*AF106</f>
        <v>99.702327394393251</v>
      </c>
      <c r="H106" s="2">
        <f>$AD106*AG106</f>
        <v>26.370705818356488</v>
      </c>
      <c r="I106" s="2">
        <f>$AD106*AH106</f>
        <v>4.0260619570009819</v>
      </c>
      <c r="J106" s="2">
        <f>$E106*AI106</f>
        <v>12.599999999999952</v>
      </c>
      <c r="K106" s="2">
        <f>$E106*AJ106</f>
        <v>76.830075187969712</v>
      </c>
      <c r="L106" s="2">
        <f>$E106*AK106</f>
        <v>60</v>
      </c>
      <c r="M106" s="2">
        <f>$E106*(AB106/100)</f>
        <v>38.546616543509941</v>
      </c>
      <c r="N106" s="2">
        <f>$E106*AL106</f>
        <v>9.2481203007516291E-2</v>
      </c>
      <c r="O106" s="2">
        <f>$E106*(AA106/100)</f>
        <v>107.278195473</v>
      </c>
      <c r="P106" s="2">
        <f>$E106*AM106</f>
        <v>2.9887323943661896</v>
      </c>
      <c r="Q106" s="2">
        <f>$E106*AN106</f>
        <v>4.3999999999999959</v>
      </c>
      <c r="R106" s="2">
        <f>$E106*AQ106</f>
        <v>2.9323943661971548</v>
      </c>
      <c r="S106" s="2">
        <f>$E106*AO106</f>
        <v>13.894736842105191</v>
      </c>
      <c r="T106" s="2">
        <f>$E106*AP106</f>
        <v>3.9699248120300674</v>
      </c>
      <c r="U106" s="2">
        <f>S106-T106</f>
        <v>9.9248120300751239</v>
      </c>
      <c r="V106" s="1">
        <f>F106/D106</f>
        <v>0.25515862659874777</v>
      </c>
      <c r="W106" s="1">
        <f>(F106+M106+N106+P106)/(D106+M106+N106+Q106)</f>
        <v>0.30546636488345807</v>
      </c>
      <c r="X106" s="1">
        <f>(G106+H106*2+I106*3+J106*4)/D106</f>
        <v>0.37963200711515876</v>
      </c>
      <c r="Y106" s="1">
        <f>W106+X106</f>
        <v>0.68509837199861678</v>
      </c>
      <c r="Z106">
        <v>0.29258258259999997</v>
      </c>
      <c r="AA106">
        <v>17.44360902</v>
      </c>
      <c r="AB106">
        <v>6.2677425273999896</v>
      </c>
      <c r="AD106" s="2">
        <f>(D106-O106-J106+Q106)*Z106</f>
        <v>131.85352909178243</v>
      </c>
      <c r="AE106">
        <v>0.23462406</v>
      </c>
      <c r="AF106">
        <v>0.75615971814445004</v>
      </c>
      <c r="AG106">
        <v>0.2</v>
      </c>
      <c r="AH106">
        <v>3.0534351145038101E-2</v>
      </c>
      <c r="AI106">
        <v>2.0487804878048702E-2</v>
      </c>
      <c r="AJ106">
        <v>0.124926951525154</v>
      </c>
      <c r="AK106">
        <v>9.7560975609756101E-2</v>
      </c>
      <c r="AL106">
        <v>1.5037593984961999E-4</v>
      </c>
      <c r="AM106">
        <v>4.8597274705141297E-3</v>
      </c>
      <c r="AN106">
        <v>7.1544715447154402E-3</v>
      </c>
      <c r="AO106">
        <v>2.2593068035943398E-2</v>
      </c>
      <c r="AP106">
        <v>6.4551622959838498E-3</v>
      </c>
      <c r="AQ106">
        <v>4.7681209206457799E-3</v>
      </c>
    </row>
    <row r="107" spans="1:43" x14ac:dyDescent="0.4">
      <c r="A107" t="s">
        <v>267</v>
      </c>
      <c r="B107" t="s">
        <v>273</v>
      </c>
      <c r="C107" s="4">
        <f>K107*1.9+G107*2.6+H107*5.2+I107*7.8+J107*10.4+L107*1.9+S107*4.2+M107*2.6+P107*2.6</f>
        <v>984.56030426342693</v>
      </c>
      <c r="D107" s="2">
        <f>E107-M107-P107-Q107-R107</f>
        <v>524.10915750833408</v>
      </c>
      <c r="E107">
        <v>562</v>
      </c>
      <c r="F107" s="2">
        <f>AD107+J107</f>
        <v>142.26117898764286</v>
      </c>
      <c r="G107" s="2">
        <f>$AD107*AF107</f>
        <v>97.138481041434105</v>
      </c>
      <c r="H107" s="2">
        <f>$AD107*AG107</f>
        <v>26.012624235545321</v>
      </c>
      <c r="I107" s="2">
        <f>$AD107*AH107</f>
        <v>2.5934854209363141</v>
      </c>
      <c r="J107" s="2">
        <f>$E107*AI107</f>
        <v>16.199999999999935</v>
      </c>
      <c r="K107" s="2">
        <f>$E107*AJ107</f>
        <v>64.507692307691869</v>
      </c>
      <c r="L107" s="2">
        <f>$E107*AK107</f>
        <v>67.999999999999559</v>
      </c>
      <c r="M107" s="2">
        <f>$E107*(AB107/100)</f>
        <v>31.090842491665942</v>
      </c>
      <c r="N107" s="2">
        <f>$E107*AL107</f>
        <v>2.0058608058607699</v>
      </c>
      <c r="O107" s="2">
        <f>$E107*(AA107/100)</f>
        <v>87.490842503400003</v>
      </c>
      <c r="P107" s="2">
        <f>$E107*AM107</f>
        <v>1.7999999999999674</v>
      </c>
      <c r="Q107" s="2">
        <f>$E107*AN107</f>
        <v>4.5999999999999899</v>
      </c>
      <c r="R107" s="2">
        <f>$E107*AQ107</f>
        <v>0.39999999999998148</v>
      </c>
      <c r="S107" s="2">
        <f>$E107*AO107</f>
        <v>16.843956043955945</v>
      </c>
      <c r="T107" s="2">
        <f>$E107*AP107</f>
        <v>5.0146520146520057</v>
      </c>
      <c r="U107" s="2">
        <f>S107-T107</f>
        <v>11.829304029303939</v>
      </c>
      <c r="V107" s="1">
        <f>F107/D107</f>
        <v>0.27143425553555744</v>
      </c>
      <c r="W107" s="1">
        <f>(F107+M107+N107+P107)/(D107+M107+N107+Q107)</f>
        <v>0.31533647945760523</v>
      </c>
      <c r="X107" s="1">
        <f>(G107+H107*2+I107*3+J107*4)/D107</f>
        <v>0.42308779115695455</v>
      </c>
      <c r="Y107" s="1">
        <f>W107+X107</f>
        <v>0.73842427061455984</v>
      </c>
      <c r="Z107">
        <v>0.29660175700000002</v>
      </c>
      <c r="AA107">
        <v>15.567765570000001</v>
      </c>
      <c r="AB107">
        <v>5.5321783792999897</v>
      </c>
      <c r="AD107" s="2">
        <f>(D107-O107-J107+Q107)*Z107</f>
        <v>126.06117898764292</v>
      </c>
      <c r="AE107">
        <v>0.25548797000000001</v>
      </c>
      <c r="AF107">
        <v>0.77056617922759596</v>
      </c>
      <c r="AG107">
        <v>0.206349206349206</v>
      </c>
      <c r="AH107">
        <v>2.0573228346456598E-2</v>
      </c>
      <c r="AI107">
        <v>2.88256227758006E-2</v>
      </c>
      <c r="AJ107">
        <v>0.11478237065425601</v>
      </c>
      <c r="AK107">
        <v>0.120996441281138</v>
      </c>
      <c r="AL107">
        <v>3.5691473413892701E-3</v>
      </c>
      <c r="AM107">
        <v>3.2028469750889099E-3</v>
      </c>
      <c r="AN107">
        <v>8.1850533807828994E-3</v>
      </c>
      <c r="AO107">
        <v>2.99714520355088E-2</v>
      </c>
      <c r="AP107">
        <v>8.9228683534733205E-3</v>
      </c>
      <c r="AQ107">
        <v>7.1174377224195997E-4</v>
      </c>
    </row>
    <row r="108" spans="1:43" x14ac:dyDescent="0.4">
      <c r="A108" t="s">
        <v>149</v>
      </c>
      <c r="B108" s="3" t="s">
        <v>153</v>
      </c>
      <c r="C108" s="4">
        <f>K108*1.9+G108*2.6+H108*5.2+I108*7.8+J108*10.4+L108*1.9+S108*4.2+M108*2.6+P108*2.6</f>
        <v>976.04927498919562</v>
      </c>
      <c r="D108" s="2">
        <f>E108-M108-P108-Q108-R108</f>
        <v>517.47000088535844</v>
      </c>
      <c r="E108">
        <v>577</v>
      </c>
      <c r="F108" s="2">
        <f>AD108+J108</f>
        <v>144.89551157310297</v>
      </c>
      <c r="G108" s="2">
        <f>$AD108*AF108</f>
        <v>113.95936888219769</v>
      </c>
      <c r="H108" s="2">
        <f>$AD108*AG108</f>
        <v>24.118384948613159</v>
      </c>
      <c r="I108" s="2">
        <f>$AD108*AH108</f>
        <v>4.0312157699824889</v>
      </c>
      <c r="J108" s="2">
        <f>$E108*AI108</f>
        <v>3.1999999999999811</v>
      </c>
      <c r="K108" s="2">
        <f>$E108*AJ108</f>
        <v>69.591836734693473</v>
      </c>
      <c r="L108" s="2">
        <f>$E108*AK108</f>
        <v>42.999999999999972</v>
      </c>
      <c r="M108" s="2">
        <f>$E108*(AB108/100)</f>
        <v>46.698979591864997</v>
      </c>
      <c r="N108" s="2">
        <f>$E108*AL108</f>
        <v>1.3981292517006561</v>
      </c>
      <c r="O108" s="2">
        <f>$E108*(AA108/100)</f>
        <v>80.465986387100003</v>
      </c>
      <c r="P108" s="2">
        <f>$E108*AM108</f>
        <v>1.9251626898047409</v>
      </c>
      <c r="Q108" s="2">
        <f>$E108*AN108</f>
        <v>3.9999999999999907</v>
      </c>
      <c r="R108" s="2">
        <f>$E108*AQ108</f>
        <v>6.9058568329717573</v>
      </c>
      <c r="S108" s="2">
        <f>$E108*AO108</f>
        <v>35.540136054421708</v>
      </c>
      <c r="T108" s="2">
        <f>$E108*AP108</f>
        <v>6.0869047619046999</v>
      </c>
      <c r="U108" s="2">
        <f>S108-T108</f>
        <v>29.45323129251701</v>
      </c>
      <c r="V108" s="1">
        <f>F108/D108</f>
        <v>0.28000755855449766</v>
      </c>
      <c r="W108" s="1">
        <f>(F108+M108+N108+P108)/(D108+M108+N108+Q108)</f>
        <v>0.34222092493936535</v>
      </c>
      <c r="X108" s="1">
        <f>(G108+H108*2+I108*3+J108*4)/D108</f>
        <v>0.36154711532895167</v>
      </c>
      <c r="Y108" s="1">
        <f>W108+X108</f>
        <v>0.70376804026831707</v>
      </c>
      <c r="Z108">
        <v>0.32365055339999999</v>
      </c>
      <c r="AA108">
        <v>13.945578230000001</v>
      </c>
      <c r="AB108">
        <v>8.0934106744999994</v>
      </c>
      <c r="AD108" s="2">
        <f>(D108-O108-J108+Q108)*Z108</f>
        <v>141.69551157310298</v>
      </c>
      <c r="AE108">
        <v>0.251896552</v>
      </c>
      <c r="AF108">
        <v>0.804255319148936</v>
      </c>
      <c r="AG108">
        <v>0.170212765957446</v>
      </c>
      <c r="AH108">
        <v>2.8449848024316E-2</v>
      </c>
      <c r="AI108">
        <v>5.5459272097053399E-3</v>
      </c>
      <c r="AJ108">
        <v>0.120609769037597</v>
      </c>
      <c r="AK108">
        <v>7.4523396880415899E-2</v>
      </c>
      <c r="AL108">
        <v>2.4231009561536498E-3</v>
      </c>
      <c r="AM108">
        <v>3.3365037951555302E-3</v>
      </c>
      <c r="AN108">
        <v>6.9324090121316998E-3</v>
      </c>
      <c r="AO108">
        <v>6.1594689869015097E-2</v>
      </c>
      <c r="AP108">
        <v>1.05492283568539E-2</v>
      </c>
      <c r="AQ108">
        <v>1.19685560363462E-2</v>
      </c>
    </row>
    <row r="109" spans="1:43" x14ac:dyDescent="0.4">
      <c r="A109" t="s">
        <v>138</v>
      </c>
      <c r="B109" t="s">
        <v>142</v>
      </c>
      <c r="C109" s="4">
        <f>K109*1.9+G109*2.6+H109*5.2+I109*7.8+J109*10.4+L109*1.9+S109*4.2+M109*2.6+P109*2.6</f>
        <v>975.6440277138139</v>
      </c>
      <c r="D109" s="2">
        <f>E109-M109-P109-Q109-R109</f>
        <v>439.9252446822789</v>
      </c>
      <c r="E109">
        <v>523</v>
      </c>
      <c r="F109" s="2">
        <f>AD109+J109</f>
        <v>93.629345709184093</v>
      </c>
      <c r="G109" s="2">
        <f>$AD109*AF109</f>
        <v>49.064022936130101</v>
      </c>
      <c r="H109" s="2">
        <f>$AD109*AG109</f>
        <v>18.472641809499923</v>
      </c>
      <c r="I109" s="2">
        <f>$AD109*AH109</f>
        <v>1.0092525821930971</v>
      </c>
      <c r="J109" s="2">
        <f>$E109*AI109</f>
        <v>24.599999999999937</v>
      </c>
      <c r="K109" s="2">
        <f>$E109*AJ109</f>
        <v>69.729670329669943</v>
      </c>
      <c r="L109" s="2">
        <f>$E109*AK109</f>
        <v>74.999999999999801</v>
      </c>
      <c r="M109" s="2">
        <f>$E109*(AB109/100)</f>
        <v>72.463003654749997</v>
      </c>
      <c r="N109" s="2">
        <f>$E109*AL109</f>
        <v>2.9873626373626254</v>
      </c>
      <c r="O109" s="2">
        <f>$E109*(AA109/100)</f>
        <v>139.84981685020003</v>
      </c>
      <c r="P109" s="2">
        <f>$E109*AM109</f>
        <v>6.2117516629711549</v>
      </c>
      <c r="Q109" s="2">
        <f>$E109*AN109</f>
        <v>4.3999999999999639</v>
      </c>
      <c r="R109" s="2">
        <f>$E109*AQ109</f>
        <v>0</v>
      </c>
      <c r="S109" s="2">
        <f>$E109*AO109</f>
        <v>2.0873626373625962</v>
      </c>
      <c r="T109" s="2">
        <f>$E109*AP109</f>
        <v>0.99578754578752082</v>
      </c>
      <c r="U109" s="2">
        <f>S109-T109</f>
        <v>1.0915750915750753</v>
      </c>
      <c r="V109" s="1">
        <f>F109/D109</f>
        <v>0.21283012702943363</v>
      </c>
      <c r="W109" s="1">
        <f>(F109+M109+N109+P109)/(D109+M109+N109+Q109)</f>
        <v>0.33724449543844448</v>
      </c>
      <c r="X109" s="1">
        <f>(G109+H109*2+I109*3+J109*4)/D109</f>
        <v>0.42606571586288267</v>
      </c>
      <c r="Y109" s="1">
        <f>W109+X109</f>
        <v>0.76331021130132715</v>
      </c>
      <c r="Z109">
        <v>0.24664310919999999</v>
      </c>
      <c r="AA109">
        <v>26.739926740000001</v>
      </c>
      <c r="AB109">
        <v>13.855258825</v>
      </c>
      <c r="AD109" s="2">
        <f>(D109-O109-J109+Q109)*Z109</f>
        <v>69.029345709184156</v>
      </c>
      <c r="AE109">
        <v>0.17871794899999999</v>
      </c>
      <c r="AF109">
        <v>0.71077050538525199</v>
      </c>
      <c r="AG109">
        <v>0.26760563380281599</v>
      </c>
      <c r="AH109">
        <v>1.462063086104E-2</v>
      </c>
      <c r="AI109">
        <v>4.7036328871892803E-2</v>
      </c>
      <c r="AJ109">
        <v>0.133326329502237</v>
      </c>
      <c r="AK109">
        <v>0.1434034416826</v>
      </c>
      <c r="AL109">
        <v>5.7119744500241402E-3</v>
      </c>
      <c r="AM109">
        <v>1.18771542313024E-2</v>
      </c>
      <c r="AN109">
        <v>8.4130019120458206E-3</v>
      </c>
      <c r="AO109">
        <v>3.9911331498328796E-3</v>
      </c>
      <c r="AP109">
        <v>1.9039914833413401E-3</v>
      </c>
      <c r="AQ109">
        <v>0</v>
      </c>
    </row>
    <row r="110" spans="1:43" x14ac:dyDescent="0.4">
      <c r="A110" t="s">
        <v>206</v>
      </c>
      <c r="B110" t="s">
        <v>210</v>
      </c>
      <c r="C110" s="4">
        <f>K110*1.9+G110*2.6+H110*5.2+I110*7.8+J110*10.4+L110*1.9+S110*4.2+M110*2.6+P110*2.6</f>
        <v>974.45801837825081</v>
      </c>
      <c r="D110" s="2">
        <f>E110-M110-P110-Q110-R110</f>
        <v>592.45035490428154</v>
      </c>
      <c r="E110">
        <v>640</v>
      </c>
      <c r="F110" s="2">
        <f>AD110+J110</f>
        <v>179.25281793784586</v>
      </c>
      <c r="G110" s="2">
        <f>$AD110*AF110</f>
        <v>141.8812508362164</v>
      </c>
      <c r="H110" s="2">
        <f>$AD110*AG110</f>
        <v>29.974912148496372</v>
      </c>
      <c r="I110" s="2">
        <f>$AD110*AH110</f>
        <v>2.9840193442210916</v>
      </c>
      <c r="J110" s="2">
        <f>$E110*AI110</f>
        <v>3.3999999999999937</v>
      </c>
      <c r="K110" s="2">
        <f>$E110*AJ110</f>
        <v>74.978801843317754</v>
      </c>
      <c r="L110" s="2">
        <f>$E110*AK110</f>
        <v>58</v>
      </c>
      <c r="M110" s="2">
        <f>$E110*(AB110/100)</f>
        <v>36.937480798720003</v>
      </c>
      <c r="N110" s="2">
        <f>$E110*AL110</f>
        <v>4.8932411674347138</v>
      </c>
      <c r="O110" s="2">
        <f>$E110*(AA110/100)</f>
        <v>37.357910905600001</v>
      </c>
      <c r="P110" s="2">
        <f>$E110*AM110</f>
        <v>5.0055292259083721</v>
      </c>
      <c r="Q110" s="2">
        <f>$E110*AN110</f>
        <v>4.2</v>
      </c>
      <c r="R110" s="2">
        <f>$E110*AQ110</f>
        <v>1.4066350710900224</v>
      </c>
      <c r="S110" s="2">
        <f>$E110*AO110</f>
        <v>6.9881720430107519</v>
      </c>
      <c r="T110" s="2">
        <f>$E110*AP110</f>
        <v>2.9949308755760318</v>
      </c>
      <c r="U110" s="2">
        <f>S110-T110</f>
        <v>3.9932411674347201</v>
      </c>
      <c r="V110" s="1">
        <f>F110/D110</f>
        <v>0.30256175298739857</v>
      </c>
      <c r="W110" s="1">
        <f>(F110+M110+N110+P110)/(D110+M110+N110+Q110)</f>
        <v>0.35410457305657639</v>
      </c>
      <c r="X110" s="1">
        <f>(G110+H110*2+I110*3+J110*4)/D110</f>
        <v>0.37873744408866888</v>
      </c>
      <c r="Y110" s="1">
        <f>W110+X110</f>
        <v>0.73284201714524522</v>
      </c>
      <c r="Z110">
        <v>0.31634324199999903</v>
      </c>
      <c r="AA110">
        <v>5.8371735789999999</v>
      </c>
      <c r="AB110">
        <v>5.7714813747999996</v>
      </c>
      <c r="AD110" s="2">
        <f>(D110-O110-J110+Q110)*Z110</f>
        <v>175.85281793784586</v>
      </c>
      <c r="AE110">
        <v>0.28185003199999997</v>
      </c>
      <c r="AF110">
        <v>0.80681818181818099</v>
      </c>
      <c r="AG110">
        <v>0.170454545454545</v>
      </c>
      <c r="AH110">
        <v>1.6968845760980501E-2</v>
      </c>
      <c r="AI110">
        <v>5.31249999999999E-3</v>
      </c>
      <c r="AJ110">
        <v>0.117154377880184</v>
      </c>
      <c r="AK110">
        <v>9.0624999999999997E-2</v>
      </c>
      <c r="AL110">
        <v>7.6456893241167402E-3</v>
      </c>
      <c r="AM110">
        <v>7.8211394154818308E-3</v>
      </c>
      <c r="AN110">
        <v>6.5624999999999998E-3</v>
      </c>
      <c r="AO110">
        <v>1.09190188172043E-2</v>
      </c>
      <c r="AP110">
        <v>4.6795794930875496E-3</v>
      </c>
      <c r="AQ110">
        <v>2.1978672985781601E-3</v>
      </c>
    </row>
    <row r="111" spans="1:43" x14ac:dyDescent="0.4">
      <c r="A111" t="s">
        <v>229</v>
      </c>
      <c r="B111" t="s">
        <v>236</v>
      </c>
      <c r="C111" s="4">
        <f>K111*1.9+G111*2.6+H111*5.2+I111*7.8+J111*10.4+L111*1.9+S111*4.2+M111*2.6+P111*2.6</f>
        <v>972.7546407440276</v>
      </c>
      <c r="D111" s="2">
        <f>E111-M111-P111-Q111-R111</f>
        <v>557.80899014628301</v>
      </c>
      <c r="E111">
        <v>611</v>
      </c>
      <c r="F111" s="2">
        <f>AD111+J111</f>
        <v>138.63282079731727</v>
      </c>
      <c r="G111" s="2">
        <f>$AD111*AF111</f>
        <v>94.508943843346003</v>
      </c>
      <c r="H111" s="2">
        <f>$AD111*AG111</f>
        <v>25.385046385990989</v>
      </c>
      <c r="I111" s="2">
        <f>$AD111*AH111</f>
        <v>0.99043295735505887</v>
      </c>
      <c r="J111" s="2">
        <f>$E111*AI111</f>
        <v>17.799999999999955</v>
      </c>
      <c r="K111" s="2">
        <f>$E111*AJ111</f>
        <v>64.514285714285521</v>
      </c>
      <c r="L111" s="2">
        <f>$E111*AK111</f>
        <v>75.999999999999687</v>
      </c>
      <c r="M111" s="2">
        <f>$E111*(AB111/100)</f>
        <v>42.164285715786001</v>
      </c>
      <c r="N111" s="2">
        <f>$E111*AL111</f>
        <v>1.6785714285713751</v>
      </c>
      <c r="O111" s="2">
        <f>$E111*(AA111/100)</f>
        <v>91.928571458099995</v>
      </c>
      <c r="P111" s="2">
        <f>$E111*AM111</f>
        <v>5.026724137930989</v>
      </c>
      <c r="Q111" s="2">
        <f>$E111*AN111</f>
        <v>5.999999999999952</v>
      </c>
      <c r="R111" s="2">
        <f>$E111*AQ111</f>
        <v>0</v>
      </c>
      <c r="S111" s="2">
        <f>$E111*AO111</f>
        <v>2.9785714285713785</v>
      </c>
      <c r="T111" s="2">
        <f>$E111*AP111</f>
        <v>1.0857142857142297</v>
      </c>
      <c r="U111" s="2">
        <f>S111-T111</f>
        <v>1.8928571428571488</v>
      </c>
      <c r="V111" s="1">
        <f>F111/D111</f>
        <v>0.24853099043986618</v>
      </c>
      <c r="W111" s="1">
        <f>(F111+M111+N111+P111)/(D111+M111+N111+Q111)</f>
        <v>0.30856880122331481</v>
      </c>
      <c r="X111" s="1">
        <f>(G111+H111*2+I111*3+J111*4)/D111</f>
        <v>0.39341484157478901</v>
      </c>
      <c r="Y111" s="1">
        <f>W111+X111</f>
        <v>0.70198364279810388</v>
      </c>
      <c r="Z111">
        <v>0.26610445160000001</v>
      </c>
      <c r="AA111">
        <v>15.045592709999999</v>
      </c>
      <c r="AB111">
        <v>6.9008650926000001</v>
      </c>
      <c r="AD111" s="2">
        <f>(D111-O111-J111+Q111)*Z111</f>
        <v>120.83282079731732</v>
      </c>
      <c r="AE111">
        <v>0.22960327699999999</v>
      </c>
      <c r="AF111">
        <v>0.782146301143408</v>
      </c>
      <c r="AG111">
        <v>0.21008403361344499</v>
      </c>
      <c r="AH111">
        <v>8.1967213114753999E-3</v>
      </c>
      <c r="AI111">
        <v>2.9132569558101399E-2</v>
      </c>
      <c r="AJ111">
        <v>0.10558802899228401</v>
      </c>
      <c r="AK111">
        <v>0.124386252045826</v>
      </c>
      <c r="AL111">
        <v>2.7472527472526599E-3</v>
      </c>
      <c r="AM111">
        <v>8.2270444155990007E-3</v>
      </c>
      <c r="AN111">
        <v>9.8199672667756994E-3</v>
      </c>
      <c r="AO111">
        <v>4.8749123217207502E-3</v>
      </c>
      <c r="AP111">
        <v>1.7769464577974299E-3</v>
      </c>
      <c r="AQ111">
        <v>0</v>
      </c>
    </row>
    <row r="112" spans="1:43" x14ac:dyDescent="0.4">
      <c r="A112" t="s">
        <v>239</v>
      </c>
      <c r="B112" s="3" t="s">
        <v>246</v>
      </c>
      <c r="C112" s="4">
        <f>K112*1.9+G112*2.6+H112*5.2+I112*7.8+J112*10.4+L112*1.9+S112*4.2+M112*2.6+P112*2.6</f>
        <v>971.56883809454507</v>
      </c>
      <c r="D112" s="2">
        <f>E112-M112-P112-Q112-R112</f>
        <v>517.10623376679882</v>
      </c>
      <c r="E112">
        <v>558</v>
      </c>
      <c r="F112" s="2">
        <f>AD112+J112</f>
        <v>133.68843175903163</v>
      </c>
      <c r="G112" s="2">
        <f>$AD112*AF112</f>
        <v>88.242862704506408</v>
      </c>
      <c r="H112" s="2">
        <f>$AD112*AG112</f>
        <v>21.66677432476715</v>
      </c>
      <c r="I112" s="2">
        <f>$AD112*AH112</f>
        <v>1.9627955050187744</v>
      </c>
      <c r="J112" s="2">
        <f>$E112*AI112</f>
        <v>22.399999999999977</v>
      </c>
      <c r="K112" s="2">
        <f>$E112*AJ112</f>
        <v>65.857142857142591</v>
      </c>
      <c r="L112" s="2">
        <f>$E112*AK112</f>
        <v>74.999999999999645</v>
      </c>
      <c r="M112" s="2">
        <f>$E112*(AB112/100)</f>
        <v>32.342857142291997</v>
      </c>
      <c r="N112" s="2">
        <f>$E112*AL112</f>
        <v>2.0657142857142805</v>
      </c>
      <c r="O112" s="2">
        <f>$E112*(AA112/100)</f>
        <v>119.57142857940001</v>
      </c>
      <c r="P112" s="2">
        <f>$E112*AM112</f>
        <v>4.9509090909090823</v>
      </c>
      <c r="Q112" s="2">
        <f>$E112*AN112</f>
        <v>3.5999999999999965</v>
      </c>
      <c r="R112" s="2">
        <f>$E112*AQ112</f>
        <v>0</v>
      </c>
      <c r="S112" s="2">
        <f>$E112*AO112</f>
        <v>3.954285714285708</v>
      </c>
      <c r="T112" s="2">
        <f>$E112*AP112</f>
        <v>1.9771428571428511</v>
      </c>
      <c r="U112" s="2">
        <f>S112-T112</f>
        <v>1.9771428571428569</v>
      </c>
      <c r="V112" s="1">
        <f>F112/D112</f>
        <v>0.25853185096067044</v>
      </c>
      <c r="W112" s="1">
        <f>(F112+M112+N112+P112)/(D112+M112+N112+Q112)</f>
        <v>0.31173355611947634</v>
      </c>
      <c r="X112" s="1">
        <f>(G112+H112*2+I112*3+J112*4)/D112</f>
        <v>0.43910667294623473</v>
      </c>
      <c r="Y112" s="1">
        <f>W112+X112</f>
        <v>0.75084022906571102</v>
      </c>
      <c r="Z112">
        <v>0.2938426314</v>
      </c>
      <c r="AA112">
        <v>21.428571430000002</v>
      </c>
      <c r="AB112">
        <v>5.7962109573999996</v>
      </c>
      <c r="AD112" s="2">
        <f>(D112-O112-J112+Q112)*Z112</f>
        <v>111.28843175903165</v>
      </c>
      <c r="AE112">
        <v>0.242021351</v>
      </c>
      <c r="AF112">
        <v>0.79292035398229999</v>
      </c>
      <c r="AG112">
        <v>0.19469026548672499</v>
      </c>
      <c r="AH112">
        <v>1.7637012886197699E-2</v>
      </c>
      <c r="AI112">
        <v>4.0143369175627198E-2</v>
      </c>
      <c r="AJ112">
        <v>0.11802355350742399</v>
      </c>
      <c r="AK112">
        <v>0.13440860215053699</v>
      </c>
      <c r="AL112">
        <v>3.7019969278033701E-3</v>
      </c>
      <c r="AM112">
        <v>8.8725969371130503E-3</v>
      </c>
      <c r="AN112">
        <v>6.4516129032258004E-3</v>
      </c>
      <c r="AO112">
        <v>7.0865335381464301E-3</v>
      </c>
      <c r="AP112">
        <v>3.5432667690732098E-3</v>
      </c>
      <c r="AQ112">
        <v>0</v>
      </c>
    </row>
    <row r="113" spans="1:43" x14ac:dyDescent="0.4">
      <c r="A113" t="s">
        <v>267</v>
      </c>
      <c r="B113" t="s">
        <v>274</v>
      </c>
      <c r="C113" s="4">
        <f>K113*1.9+G113*2.6+H113*5.2+I113*7.8+J113*10.4+L113*1.9+S113*4.2+M113*2.6+P113*2.6</f>
        <v>970.46400015378913</v>
      </c>
      <c r="D113" s="2">
        <f>E113-M113-P113-Q113-R113</f>
        <v>520.61352572884857</v>
      </c>
      <c r="E113">
        <v>595</v>
      </c>
      <c r="F113" s="2">
        <f>AD113+J113</f>
        <v>133.29178273523104</v>
      </c>
      <c r="G113" s="2">
        <f>$AD113*AF113</f>
        <v>95.350392053808093</v>
      </c>
      <c r="H113" s="2">
        <f>$AD113*AG113</f>
        <v>22.278128984534526</v>
      </c>
      <c r="I113" s="2">
        <f>$AD113*AH113</f>
        <v>1.9982239297740261</v>
      </c>
      <c r="J113" s="2">
        <f>$E113*AI113</f>
        <v>13.799999999999958</v>
      </c>
      <c r="K113" s="2">
        <f>$E113*AJ113</f>
        <v>65.312359550561652</v>
      </c>
      <c r="L113" s="2">
        <f>$E113*AK113</f>
        <v>68.999999999999503</v>
      </c>
      <c r="M113" s="2">
        <f>$E113*(AB113/100)</f>
        <v>66.794382014150003</v>
      </c>
      <c r="N113" s="2">
        <f>$E113*AL113</f>
        <v>1.8955056179775134</v>
      </c>
      <c r="O113" s="2">
        <f>$E113*(AA113/100)</f>
        <v>127.9775280875</v>
      </c>
      <c r="P113" s="2">
        <f>$E113*AM113</f>
        <v>3.992092257001616</v>
      </c>
      <c r="Q113" s="2">
        <f>$E113*AN113</f>
        <v>3.5999999999999601</v>
      </c>
      <c r="R113" s="2">
        <f>$E113*AQ113</f>
        <v>0</v>
      </c>
      <c r="S113" s="2">
        <f>$E113*AO113</f>
        <v>1.9910112359550409</v>
      </c>
      <c r="T113" s="2">
        <f>$E113*AP113</f>
        <v>0.99550561797749371</v>
      </c>
      <c r="U113" s="2">
        <f>S113-T113</f>
        <v>0.99550561797754722</v>
      </c>
      <c r="V113" s="1">
        <f>F113/D113</f>
        <v>0.25602827461815403</v>
      </c>
      <c r="W113" s="1">
        <f>(F113+M113+N113+P113)/(D113+M113+N113+Q113)</f>
        <v>0.34739851041970249</v>
      </c>
      <c r="X113" s="1">
        <f>(G113+H113*2+I113*3+J113*4)/D113</f>
        <v>0.38627755882957748</v>
      </c>
      <c r="Y113" s="1">
        <f>W113+X113</f>
        <v>0.73367606924927997</v>
      </c>
      <c r="Z113">
        <v>0.31244909859999997</v>
      </c>
      <c r="AA113">
        <v>21.508828250000001</v>
      </c>
      <c r="AB113">
        <v>11.225946557</v>
      </c>
      <c r="AD113" s="2">
        <f>(D113-O113-J113+Q113)*Z113</f>
        <v>119.49178273523108</v>
      </c>
      <c r="AE113">
        <v>0.22415258199999999</v>
      </c>
      <c r="AF113">
        <v>0.797966101694915</v>
      </c>
      <c r="AG113">
        <v>0.186440677966101</v>
      </c>
      <c r="AH113">
        <v>1.6722689075630199E-2</v>
      </c>
      <c r="AI113">
        <v>2.3193277310924298E-2</v>
      </c>
      <c r="AJ113">
        <v>0.10976867151354899</v>
      </c>
      <c r="AK113">
        <v>0.11596638655462101</v>
      </c>
      <c r="AL113">
        <v>3.1857237276932998E-3</v>
      </c>
      <c r="AM113">
        <v>6.7093987512632201E-3</v>
      </c>
      <c r="AN113">
        <v>6.0504201680671599E-3</v>
      </c>
      <c r="AO113">
        <v>3.3462373713530101E-3</v>
      </c>
      <c r="AP113">
        <v>1.67311868567646E-3</v>
      </c>
      <c r="AQ113">
        <v>0</v>
      </c>
    </row>
    <row r="114" spans="1:43" x14ac:dyDescent="0.4">
      <c r="A114" t="s">
        <v>101</v>
      </c>
      <c r="B114" s="3" t="s">
        <v>104</v>
      </c>
      <c r="C114" s="4">
        <f>K114*1.9+G114*2.6+H114*5.2+I114*7.8+J114*10.4+L114*1.9+S114*4.2+M114*2.6+P114*2.6</f>
        <v>963.31012890412228</v>
      </c>
      <c r="D114" s="2">
        <f>E114-M114-P114-Q114-R114</f>
        <v>472.78530547658022</v>
      </c>
      <c r="E114">
        <v>531</v>
      </c>
      <c r="F114" s="2">
        <f>AD114+J114</f>
        <v>107.5186240194204</v>
      </c>
      <c r="G114" s="2">
        <f>$AD114*AF114</f>
        <v>60.567511811361157</v>
      </c>
      <c r="H114" s="2">
        <f>$AD114*AG114</f>
        <v>22.92386296996078</v>
      </c>
      <c r="I114" s="2">
        <f>$AD114*AH114</f>
        <v>2.6538364150661771</v>
      </c>
      <c r="J114" s="2">
        <f>$E114*AI114</f>
        <v>22.79999999999993</v>
      </c>
      <c r="K114" s="2">
        <f>$E114*AJ114</f>
        <v>63.571428571428477</v>
      </c>
      <c r="L114" s="2">
        <f>$E114*AK114</f>
        <v>66.999999999999872</v>
      </c>
      <c r="M114" s="2">
        <f>$E114*(AB114/100)</f>
        <v>52.231746033188998</v>
      </c>
      <c r="N114" s="2">
        <f>$E114*AL114</f>
        <v>1.8936507936507747</v>
      </c>
      <c r="O114" s="2">
        <f>$E114*(AA114/100)</f>
        <v>159.20634922919999</v>
      </c>
      <c r="P114" s="2">
        <f>$E114*AM114</f>
        <v>2.9829484902308603</v>
      </c>
      <c r="Q114" s="2">
        <f>$E114*AN114</f>
        <v>2.9999999999999503</v>
      </c>
      <c r="R114" s="2">
        <f>$E114*AQ114</f>
        <v>0</v>
      </c>
      <c r="S114" s="2">
        <f>$E114*AO114</f>
        <v>8.8492063492062574</v>
      </c>
      <c r="T114" s="2">
        <f>$E114*AP114</f>
        <v>1.9873015873015683</v>
      </c>
      <c r="U114" s="2">
        <f>S114-T114</f>
        <v>6.8619047619046896</v>
      </c>
      <c r="V114" s="1">
        <f>F114/D114</f>
        <v>0.22741532525220673</v>
      </c>
      <c r="W114" s="1">
        <f>(F114+M114+N114+P114)/(D114+M114+N114+Q114)</f>
        <v>0.31066926676681422</v>
      </c>
      <c r="X114" s="1">
        <f>(G114+H114*2+I114*3+J114*4)/D114</f>
        <v>0.43482050862231025</v>
      </c>
      <c r="Y114" s="1">
        <f>W114+X114</f>
        <v>0.74548977538912453</v>
      </c>
      <c r="Z114">
        <v>0.288375399999999</v>
      </c>
      <c r="AA114">
        <v>29.982363320000001</v>
      </c>
      <c r="AB114">
        <v>9.8364870118999992</v>
      </c>
      <c r="AD114" s="2">
        <f>(D114-O114-J114+Q114)*Z114</f>
        <v>84.718624019420474</v>
      </c>
      <c r="AE114">
        <v>0.200944491</v>
      </c>
      <c r="AF114">
        <v>0.71492558469170797</v>
      </c>
      <c r="AG114">
        <v>0.27058823529411702</v>
      </c>
      <c r="AH114">
        <v>3.1325301204819203E-2</v>
      </c>
      <c r="AI114">
        <v>4.2937853107344499E-2</v>
      </c>
      <c r="AJ114">
        <v>0.119720204465967</v>
      </c>
      <c r="AK114">
        <v>0.12617702448210899</v>
      </c>
      <c r="AL114">
        <v>3.5661973515080502E-3</v>
      </c>
      <c r="AM114">
        <v>5.6176054429959701E-3</v>
      </c>
      <c r="AN114">
        <v>5.6497175141242001E-3</v>
      </c>
      <c r="AO114">
        <v>1.6665172032403499E-2</v>
      </c>
      <c r="AP114">
        <v>3.7425641945415598E-3</v>
      </c>
      <c r="AQ114">
        <v>0</v>
      </c>
    </row>
    <row r="115" spans="1:43" x14ac:dyDescent="0.4">
      <c r="A115" t="s">
        <v>20</v>
      </c>
      <c r="B115" t="s">
        <v>29</v>
      </c>
      <c r="C115" s="4">
        <f>K115*1.9+G115*2.6+H115*5.2+I115*7.8+J115*10.4+L115*1.9+S115*4.2+M115*2.6+P115*2.6</f>
        <v>958.22371118196327</v>
      </c>
      <c r="D115" s="2">
        <f>E115-M115-P115-Q115-R115</f>
        <v>518.36564885656185</v>
      </c>
      <c r="E115">
        <v>560</v>
      </c>
      <c r="F115" s="2">
        <f>AD115+J115</f>
        <v>140.34629603964959</v>
      </c>
      <c r="G115" s="2">
        <f>$AD115*AF115</f>
        <v>95.005220830440607</v>
      </c>
      <c r="H115" s="2">
        <f>$AD115*AG115</f>
        <v>26.944758008633279</v>
      </c>
      <c r="I115" s="2">
        <f>$AD115*AH115</f>
        <v>1.9959080006395087</v>
      </c>
      <c r="J115" s="2">
        <f>$E115*AI115</f>
        <v>16.59999999999992</v>
      </c>
      <c r="K115" s="2">
        <f>$E115*AJ115</f>
        <v>64.799999999999599</v>
      </c>
      <c r="L115" s="2">
        <f>$E115*AK115</f>
        <v>72.999999999999517</v>
      </c>
      <c r="M115" s="2">
        <f>$E115*(AB115/100)</f>
        <v>31.999999998399996</v>
      </c>
      <c r="N115" s="2">
        <f>$E115*AL115</f>
        <v>0.59999999999997122</v>
      </c>
      <c r="O115" s="2">
        <f>$E115*(AA115/100)</f>
        <v>101.999999976</v>
      </c>
      <c r="P115" s="2">
        <f>$E115*AM115</f>
        <v>5.0343511450381522</v>
      </c>
      <c r="Q115" s="2">
        <f>$E115*AN115</f>
        <v>4.5999999999999801</v>
      </c>
      <c r="R115" s="2">
        <f>$E115*AQ115</f>
        <v>0</v>
      </c>
      <c r="S115" s="2">
        <f>$E115*AO115</f>
        <v>5.8999999999999524</v>
      </c>
      <c r="T115" s="2">
        <f>$E115*AP115</f>
        <v>1.8999999999999591</v>
      </c>
      <c r="U115" s="2">
        <f>S115-T115</f>
        <v>3.9999999999999933</v>
      </c>
      <c r="V115" s="1">
        <f>F115/D115</f>
        <v>0.27074767849534942</v>
      </c>
      <c r="W115" s="1">
        <f>(F115+M115+N115+P115)/(D115+M115+N115+Q115)</f>
        <v>0.320359344660548</v>
      </c>
      <c r="X115" s="1">
        <f>(G115+H115*2+I115*3+J115*4)/D115</f>
        <v>0.42688488586722878</v>
      </c>
      <c r="Y115" s="1">
        <f>W115+X115</f>
        <v>0.74724423052777678</v>
      </c>
      <c r="Z115">
        <v>0.30602573779999998</v>
      </c>
      <c r="AA115">
        <v>18.214285709999999</v>
      </c>
      <c r="AB115">
        <v>5.7142857139999998</v>
      </c>
      <c r="AD115" s="2">
        <f>(D115-O115-J115+Q115)*Z115</f>
        <v>123.74629603964968</v>
      </c>
      <c r="AE115">
        <v>0.252300105</v>
      </c>
      <c r="AF115">
        <v>0.76774193548387004</v>
      </c>
      <c r="AG115">
        <v>0.21774193548387</v>
      </c>
      <c r="AH115">
        <v>1.6129032258064498E-2</v>
      </c>
      <c r="AI115">
        <v>2.9642857142856999E-2</v>
      </c>
      <c r="AJ115">
        <v>0.11571428571428501</v>
      </c>
      <c r="AK115">
        <v>0.13035714285714201</v>
      </c>
      <c r="AL115">
        <v>1.0714285714285201E-3</v>
      </c>
      <c r="AM115">
        <v>8.9899127589966998E-3</v>
      </c>
      <c r="AN115">
        <v>8.2142857142856792E-3</v>
      </c>
      <c r="AO115">
        <v>1.05357142857142E-2</v>
      </c>
      <c r="AP115">
        <v>3.3928571428570699E-3</v>
      </c>
      <c r="AQ115">
        <v>0</v>
      </c>
    </row>
    <row r="116" spans="1:43" x14ac:dyDescent="0.4">
      <c r="A116" t="s">
        <v>239</v>
      </c>
      <c r="B116" t="s">
        <v>241</v>
      </c>
      <c r="C116" s="4">
        <f>K116*1.9+G116*2.6+H116*5.2+I116*7.8+J116*10.4+L116*1.9+S116*4.2+M116*2.6+P116*2.6</f>
        <v>954.88121910330904</v>
      </c>
      <c r="D116" s="2">
        <f>E116-M116-P116-Q116-R116</f>
        <v>465.13368231697007</v>
      </c>
      <c r="E116">
        <v>521</v>
      </c>
      <c r="F116" s="2">
        <f>AD116+J116</f>
        <v>106.84345241491309</v>
      </c>
      <c r="G116" s="2">
        <f>$AD116*AF116</f>
        <v>61.625061595403885</v>
      </c>
      <c r="H116" s="2">
        <f>$AD116*AG116</f>
        <v>21.112198803773193</v>
      </c>
      <c r="I116" s="2">
        <f>$AD116*AH116</f>
        <v>3.0380969010307752</v>
      </c>
      <c r="J116" s="2">
        <f>$E116*AI116</f>
        <v>23.399999999999963</v>
      </c>
      <c r="K116" s="2">
        <f>$E116*AJ116</f>
        <v>64.727984344422239</v>
      </c>
      <c r="L116" s="2">
        <f>$E116*AK116</f>
        <v>64.999999999999545</v>
      </c>
      <c r="M116" s="2">
        <f>$E116*(AB116/100)</f>
        <v>46.293933463476002</v>
      </c>
      <c r="N116" s="2">
        <f>$E116*AL116</f>
        <v>1.1039138943248492</v>
      </c>
      <c r="O116" s="2">
        <f>$E116*(AA116/100)</f>
        <v>141.72015656759999</v>
      </c>
      <c r="P116" s="2">
        <f>$E116*AM116</f>
        <v>5.0361921097769988</v>
      </c>
      <c r="Q116" s="2">
        <f>$E116*AN116</f>
        <v>3.5999999999999894</v>
      </c>
      <c r="R116" s="2">
        <f>$E116*AQ116</f>
        <v>0.93619210977699474</v>
      </c>
      <c r="S116" s="2">
        <f>$E116*AO116</f>
        <v>9.0176125244617822</v>
      </c>
      <c r="T116" s="2">
        <f>$E116*AP116</f>
        <v>4.0078277886496929</v>
      </c>
      <c r="U116" s="2">
        <f>S116-T116</f>
        <v>5.0097847358120893</v>
      </c>
      <c r="V116" s="1">
        <f>F116/D116</f>
        <v>0.22970482783077303</v>
      </c>
      <c r="W116" s="1">
        <f>(F116+M116+N116+P116)/(D116+M116+N116+Q116)</f>
        <v>0.30859864729220515</v>
      </c>
      <c r="X116" s="1">
        <f>(G116+H116*2+I116*3+J116*4)/D116</f>
        <v>0.44409544558692593</v>
      </c>
      <c r="Y116" s="1">
        <f>W116+X116</f>
        <v>0.75269409287913103</v>
      </c>
      <c r="Z116">
        <v>0.27483443699999999</v>
      </c>
      <c r="AA116">
        <v>27.201565559999999</v>
      </c>
      <c r="AB116">
        <v>8.8855918355999997</v>
      </c>
      <c r="AD116" s="2">
        <f>(D116-O116-J116+Q116)*Z116</f>
        <v>83.443452414913125</v>
      </c>
      <c r="AE116">
        <v>0.202164132</v>
      </c>
      <c r="AF116">
        <v>0.73852483103144195</v>
      </c>
      <c r="AG116">
        <v>0.25301204819277101</v>
      </c>
      <c r="AH116">
        <v>3.64090508374963E-2</v>
      </c>
      <c r="AI116">
        <v>4.49136276391554E-2</v>
      </c>
      <c r="AJ116">
        <v>0.12423797378967801</v>
      </c>
      <c r="AK116">
        <v>0.12476007677543099</v>
      </c>
      <c r="AL116">
        <v>2.1188366493759101E-3</v>
      </c>
      <c r="AM116">
        <v>9.6663956041785001E-3</v>
      </c>
      <c r="AN116">
        <v>6.9097888675623597E-3</v>
      </c>
      <c r="AO116">
        <v>1.73082773981992E-2</v>
      </c>
      <c r="AP116">
        <v>7.6925677325330004E-3</v>
      </c>
      <c r="AQ116">
        <v>1.79691383834356E-3</v>
      </c>
    </row>
    <row r="117" spans="1:43" x14ac:dyDescent="0.4">
      <c r="A117" t="s">
        <v>154</v>
      </c>
      <c r="B117" s="3" t="s">
        <v>155</v>
      </c>
      <c r="C117" s="4">
        <f>K117*1.9+G117*2.6+H117*5.2+I117*7.8+J117*10.4+L117*1.9+S117*4.2+M117*2.6+P117*2.6</f>
        <v>954.30237281770098</v>
      </c>
      <c r="D117" s="2">
        <f>E117-M117-P117-Q117-R117</f>
        <v>516.12760314635807</v>
      </c>
      <c r="E117">
        <v>571</v>
      </c>
      <c r="F117" s="2">
        <f>AD117+J117</f>
        <v>127.25240109943843</v>
      </c>
      <c r="G117" s="2">
        <f>$AD117*AF117</f>
        <v>93.353352401147319</v>
      </c>
      <c r="H117" s="2">
        <f>$AD117*AG117</f>
        <v>22.00960686823035</v>
      </c>
      <c r="I117" s="2">
        <f>$AD117*AH117</f>
        <v>3.0367905476798458</v>
      </c>
      <c r="J117" s="2">
        <f>$E117*AI117</f>
        <v>7.1999999999999345</v>
      </c>
      <c r="K117" s="2">
        <f>$E117*AJ117</f>
        <v>65.268106312292332</v>
      </c>
      <c r="L117" s="2">
        <f>$E117*AK117</f>
        <v>50.999999999999993</v>
      </c>
      <c r="M117" s="2">
        <f>$E117*(AB117/100)</f>
        <v>45.432225913471001</v>
      </c>
      <c r="N117" s="2">
        <f>$E117*AL117</f>
        <v>0.99485049833885153</v>
      </c>
      <c r="O117" s="2">
        <f>$E117*(AA117/100)</f>
        <v>102.43853823139999</v>
      </c>
      <c r="P117" s="2">
        <f>$E117*AM117</f>
        <v>1.8976068376068007</v>
      </c>
      <c r="Q117" s="2">
        <f>$E117*AN117</f>
        <v>3.9999999999999765</v>
      </c>
      <c r="R117" s="2">
        <f>$E117*AQ117</f>
        <v>3.5425641025640884</v>
      </c>
      <c r="S117" s="2">
        <f>$E117*AO117</f>
        <v>36.809468438538168</v>
      </c>
      <c r="T117" s="2">
        <f>$E117*AP117</f>
        <v>6.0639534883720767</v>
      </c>
      <c r="U117" s="2">
        <f>S117-T117</f>
        <v>30.74551495016609</v>
      </c>
      <c r="V117" s="1">
        <f>F117/D117</f>
        <v>0.24655220980954495</v>
      </c>
      <c r="W117" s="1">
        <f>(F117+M117+N117+P117)/(D117+M117+N117+Q117)</f>
        <v>0.30990315795428641</v>
      </c>
      <c r="X117" s="1">
        <f>(G117+H117*2+I117*3+J117*4)/D117</f>
        <v>0.33961163230198793</v>
      </c>
      <c r="Y117" s="1">
        <f>W117+X117</f>
        <v>0.64951479025627434</v>
      </c>
      <c r="Z117">
        <v>0.29246187379999999</v>
      </c>
      <c r="AA117">
        <v>17.940199339999999</v>
      </c>
      <c r="AB117">
        <v>7.9566069901000001</v>
      </c>
      <c r="AD117" s="2">
        <f>(D117-O117-J117+Q117)*Z117</f>
        <v>120.0524010994385</v>
      </c>
      <c r="AE117">
        <v>0.22293169099999999</v>
      </c>
      <c r="AF117">
        <v>0.77760504201680603</v>
      </c>
      <c r="AG117">
        <v>0.18333333333333299</v>
      </c>
      <c r="AH117">
        <v>2.52955419455917E-2</v>
      </c>
      <c r="AI117">
        <v>1.26094570928195E-2</v>
      </c>
      <c r="AJ117">
        <v>0.11430491473256101</v>
      </c>
      <c r="AK117">
        <v>8.9316987740805598E-2</v>
      </c>
      <c r="AL117">
        <v>1.7422950934130499E-3</v>
      </c>
      <c r="AM117">
        <v>3.3233044441450098E-3</v>
      </c>
      <c r="AN117">
        <v>7.0052539404552999E-3</v>
      </c>
      <c r="AO117">
        <v>6.4464918456284007E-2</v>
      </c>
      <c r="AP117">
        <v>1.0619883517289101E-2</v>
      </c>
      <c r="AQ117">
        <v>6.20414028470068E-3</v>
      </c>
    </row>
    <row r="118" spans="1:43" x14ac:dyDescent="0.4">
      <c r="A118" t="s">
        <v>129</v>
      </c>
      <c r="B118" s="3" t="s">
        <v>137</v>
      </c>
      <c r="C118" s="4">
        <f>K118*1.9+G118*2.6+H118*5.2+I118*7.8+J118*10.4+L118*1.9+S118*4.2+M118*2.6+P118*2.6</f>
        <v>954.04700090472636</v>
      </c>
      <c r="D118" s="2">
        <f>E118-M118-P118-Q118-R118</f>
        <v>457.84207710309454</v>
      </c>
      <c r="E118">
        <v>510</v>
      </c>
      <c r="F118" s="2">
        <f>AD118+J118</f>
        <v>113.12517291708033</v>
      </c>
      <c r="G118" s="2">
        <f>$AD118*AF118</f>
        <v>69.5409981806948</v>
      </c>
      <c r="H118" s="2">
        <f>$AD118*AG118</f>
        <v>23.377193302073611</v>
      </c>
      <c r="I118" s="2">
        <f>$AD118*AH118</f>
        <v>1.003560975622189</v>
      </c>
      <c r="J118" s="2">
        <f>$E118*AI118</f>
        <v>18.599999999999991</v>
      </c>
      <c r="K118" s="2">
        <f>$E118*AJ118</f>
        <v>65.742857142857105</v>
      </c>
      <c r="L118" s="2">
        <f>$E118*AK118</f>
        <v>60.999999999999545</v>
      </c>
      <c r="M118" s="2">
        <f>$E118*(AB118/100)</f>
        <v>33.251785712790003</v>
      </c>
      <c r="N118" s="2">
        <f>$E118*AL118</f>
        <v>0.59107142857140127</v>
      </c>
      <c r="O118" s="2">
        <f>$E118*(AA118/100)</f>
        <v>112.928571414</v>
      </c>
      <c r="P118" s="2">
        <f>$E118*AM118</f>
        <v>13.449097472924148</v>
      </c>
      <c r="Q118" s="2">
        <f>$E118*AN118</f>
        <v>2.999999999999964</v>
      </c>
      <c r="R118" s="2">
        <f>$E118*AQ118</f>
        <v>2.4570397111913</v>
      </c>
      <c r="S118" s="2">
        <f>$E118*AO118</f>
        <v>20.994642857142797</v>
      </c>
      <c r="T118" s="2">
        <f>$E118*AP118</f>
        <v>6.0374999999999766</v>
      </c>
      <c r="U118" s="2">
        <f>S118-T118</f>
        <v>14.95714285714282</v>
      </c>
      <c r="V118" s="1">
        <f>F118/D118</f>
        <v>0.24708339092129225</v>
      </c>
      <c r="W118" s="1">
        <f>(F118+M118+N118+P118)/(D118+M118+N118+Q118)</f>
        <v>0.32428140908793751</v>
      </c>
      <c r="X118" s="1">
        <f>(G118+H118*2+I118*3+J118*4)/D118</f>
        <v>0.42308489629731172</v>
      </c>
      <c r="Y118" s="1">
        <f>W118+X118</f>
        <v>0.74736630538524929</v>
      </c>
      <c r="Z118">
        <v>0.28703703699999999</v>
      </c>
      <c r="AA118">
        <v>22.14285714</v>
      </c>
      <c r="AB118">
        <v>6.5199579829000003</v>
      </c>
      <c r="AD118" s="2">
        <f>(D118-O118-J118+Q118)*Z118</f>
        <v>94.52517291708034</v>
      </c>
      <c r="AE118">
        <v>0.223376623</v>
      </c>
      <c r="AF118">
        <v>0.73568760611205397</v>
      </c>
      <c r="AG118">
        <v>0.247311827956989</v>
      </c>
      <c r="AH118">
        <v>1.06168647425013E-2</v>
      </c>
      <c r="AI118">
        <v>3.6470588235294102E-2</v>
      </c>
      <c r="AJ118">
        <v>0.12890756302521</v>
      </c>
      <c r="AK118">
        <v>0.11960784313725401</v>
      </c>
      <c r="AL118">
        <v>1.1589635854341201E-3</v>
      </c>
      <c r="AM118">
        <v>2.6370779358674799E-2</v>
      </c>
      <c r="AN118">
        <v>5.8823529411764003E-3</v>
      </c>
      <c r="AO118">
        <v>4.1165966386554502E-2</v>
      </c>
      <c r="AP118">
        <v>1.1838235294117601E-2</v>
      </c>
      <c r="AQ118">
        <v>4.81772492390451E-3</v>
      </c>
    </row>
    <row r="119" spans="1:43" x14ac:dyDescent="0.4">
      <c r="A119" t="s">
        <v>154</v>
      </c>
      <c r="B119" t="s">
        <v>160</v>
      </c>
      <c r="C119" s="4">
        <f>K119*1.9+G119*2.6+H119*5.2+I119*7.8+J119*10.4+L119*1.9+S119*4.2+M119*2.6+P119*2.6</f>
        <v>953.41992926241937</v>
      </c>
      <c r="D119" s="2">
        <f>E119-M119-P119-Q119-R119</f>
        <v>467.35499486886772</v>
      </c>
      <c r="E119">
        <v>537</v>
      </c>
      <c r="F119" s="2">
        <f>AD119+J119</f>
        <v>100.14707838418504</v>
      </c>
      <c r="G119" s="2">
        <f>$AD119*AF119</f>
        <v>54.915579754718451</v>
      </c>
      <c r="H119" s="2">
        <f>$AD119*AG119</f>
        <v>20.447290334203664</v>
      </c>
      <c r="I119" s="2">
        <f>$AD119*AH119</f>
        <v>0.98392976044288127</v>
      </c>
      <c r="J119" s="2">
        <f>$E119*AI119</f>
        <v>24.199999999999928</v>
      </c>
      <c r="K119" s="2">
        <f>$E119*AJ119</f>
        <v>61.770034843205345</v>
      </c>
      <c r="L119" s="2">
        <f>$E119*AK119</f>
        <v>75.999999999999787</v>
      </c>
      <c r="M119" s="2">
        <f>$E119*(AB119/100)</f>
        <v>58.71324042525</v>
      </c>
      <c r="N119" s="2">
        <f>$E119*AL119</f>
        <v>0.59355400696862537</v>
      </c>
      <c r="O119" s="2">
        <f>$E119*(AA119/100)</f>
        <v>149.6864111502</v>
      </c>
      <c r="P119" s="2">
        <f>$E119*AM119</f>
        <v>6.9317647058823058</v>
      </c>
      <c r="Q119" s="2">
        <f>$E119*AN119</f>
        <v>4</v>
      </c>
      <c r="R119" s="2">
        <f>$E119*AQ119</f>
        <v>0</v>
      </c>
      <c r="S119" s="2">
        <f>$E119*AO119</f>
        <v>2.9806620209058972</v>
      </c>
      <c r="T119" s="2">
        <f>$E119*AP119</f>
        <v>0.99355400696861451</v>
      </c>
      <c r="U119" s="2">
        <f>S119-T119</f>
        <v>1.9871080139372825</v>
      </c>
      <c r="V119" s="1">
        <f>F119/D119</f>
        <v>0.21428481450655018</v>
      </c>
      <c r="W119" s="1">
        <f>(F119+M119+N119+P119)/(D119+M119+N119+Q119)</f>
        <v>0.31354365601002837</v>
      </c>
      <c r="X119" s="1">
        <f>(G119+H119*2+I119*3+J119*4)/D119</f>
        <v>0.41844412031870054</v>
      </c>
      <c r="Y119" s="1">
        <f>W119+X119</f>
        <v>0.73198777632872891</v>
      </c>
      <c r="Z119">
        <v>0.2553112582</v>
      </c>
      <c r="AA119">
        <v>27.874564459999998</v>
      </c>
      <c r="AB119">
        <v>10.933564325000001</v>
      </c>
      <c r="AD119" s="2">
        <f>(D119-O119-J119+Q119)*Z119</f>
        <v>75.947078384185104</v>
      </c>
      <c r="AE119">
        <v>0.19290738499999999</v>
      </c>
      <c r="AF119">
        <v>0.72307692307692295</v>
      </c>
      <c r="AG119">
        <v>0.269230769230769</v>
      </c>
      <c r="AH119">
        <v>1.2955465587044499E-2</v>
      </c>
      <c r="AI119">
        <v>4.5065176908752197E-2</v>
      </c>
      <c r="AJ119">
        <v>0.11502799784582</v>
      </c>
      <c r="AK119">
        <v>0.14152700186219699</v>
      </c>
      <c r="AL119">
        <v>1.10531472433636E-3</v>
      </c>
      <c r="AM119">
        <v>1.29083141636542E-2</v>
      </c>
      <c r="AN119">
        <v>7.4487895716945996E-3</v>
      </c>
      <c r="AO119">
        <v>5.5505810445174997E-3</v>
      </c>
      <c r="AP119">
        <v>1.8501936815057999E-3</v>
      </c>
      <c r="AQ119">
        <v>0</v>
      </c>
    </row>
    <row r="120" spans="1:43" x14ac:dyDescent="0.4">
      <c r="A120" t="s">
        <v>138</v>
      </c>
      <c r="B120" t="s">
        <v>148</v>
      </c>
      <c r="C120" s="4">
        <f>K120*1.9+G120*2.6+H120*5.2+I120*7.8+J120*10.4+L120*1.9+S120*4.2+M120*2.6+P120*2.6</f>
        <v>949.86492863096009</v>
      </c>
      <c r="D120" s="2">
        <f>E120-M120-P120-Q120-R120</f>
        <v>444.68531793026017</v>
      </c>
      <c r="E120">
        <v>511</v>
      </c>
      <c r="F120" s="2">
        <f>AD120+J120</f>
        <v>114.13569791800518</v>
      </c>
      <c r="G120" s="2">
        <f>$AD120*AF120</f>
        <v>69.848960277533791</v>
      </c>
      <c r="H120" s="2">
        <f>$AD120*AG120</f>
        <v>22.984266511852269</v>
      </c>
      <c r="I120" s="2">
        <f>$AD120*AH120</f>
        <v>2.0289056773313843</v>
      </c>
      <c r="J120" s="2">
        <f>$E120*AI120</f>
        <v>20.199999999999942</v>
      </c>
      <c r="K120" s="2">
        <f>$E120*AJ120</f>
        <v>66.578443113772067</v>
      </c>
      <c r="L120" s="2">
        <f>$E120*AK120</f>
        <v>68.999999999999801</v>
      </c>
      <c r="M120" s="2">
        <f>$E120*(AB120/100)</f>
        <v>50.201796407308002</v>
      </c>
      <c r="N120" s="2">
        <f>$E120*AL120</f>
        <v>2.7079840319361086</v>
      </c>
      <c r="O120" s="2">
        <f>$E120*(AA120/100)</f>
        <v>91.796407204600001</v>
      </c>
      <c r="P120" s="2">
        <f>$E120*AM120</f>
        <v>10.1128856624319</v>
      </c>
      <c r="Q120" s="2">
        <f>$E120*AN120</f>
        <v>5.9999999999999556</v>
      </c>
      <c r="R120" s="2">
        <f>$E120*AQ120</f>
        <v>0</v>
      </c>
      <c r="S120" s="2">
        <f>$E120*AO120</f>
        <v>2.0039920159680467</v>
      </c>
      <c r="T120" s="2">
        <f>$E120*AP120</f>
        <v>0</v>
      </c>
      <c r="U120" s="2">
        <f>S120-T120</f>
        <v>2.0039920159680467</v>
      </c>
      <c r="V120" s="1">
        <f>F120/D120</f>
        <v>0.25666621612163287</v>
      </c>
      <c r="W120" s="1">
        <f>(F120+M120+N120+P120)/(D120+M120+N120+Q120)</f>
        <v>0.35178730808395259</v>
      </c>
      <c r="X120" s="1">
        <f>(G120+H120*2+I120*3+J120*4)/D120</f>
        <v>0.45583742516325282</v>
      </c>
      <c r="Y120" s="1">
        <f>W120+X120</f>
        <v>0.80762473324720541</v>
      </c>
      <c r="Z120">
        <v>0.27735096999999997</v>
      </c>
      <c r="AA120">
        <v>17.964071860000001</v>
      </c>
      <c r="AB120">
        <v>9.8242263027999996</v>
      </c>
      <c r="AD120" s="2">
        <f>(D120-O120-J120+Q120)*Z120</f>
        <v>93.935697918005232</v>
      </c>
      <c r="AE120">
        <v>0.22166627</v>
      </c>
      <c r="AF120">
        <v>0.74358270418668404</v>
      </c>
      <c r="AG120">
        <v>0.244680851063829</v>
      </c>
      <c r="AH120">
        <v>2.1598877980364601E-2</v>
      </c>
      <c r="AI120">
        <v>3.9530332681017501E-2</v>
      </c>
      <c r="AJ120">
        <v>0.13029049533027801</v>
      </c>
      <c r="AK120">
        <v>0.135029354207436</v>
      </c>
      <c r="AL120">
        <v>5.29938166719395E-3</v>
      </c>
      <c r="AM120">
        <v>1.97903829010409E-2</v>
      </c>
      <c r="AN120">
        <v>1.17416829745596E-2</v>
      </c>
      <c r="AO120">
        <v>3.9217064891742598E-3</v>
      </c>
      <c r="AP120">
        <v>0</v>
      </c>
      <c r="AQ120">
        <v>0</v>
      </c>
    </row>
    <row r="121" spans="1:43" x14ac:dyDescent="0.4">
      <c r="A121" t="s">
        <v>49</v>
      </c>
      <c r="B121" t="s">
        <v>51</v>
      </c>
      <c r="C121" s="4">
        <f>K121*1.9+G121*2.6+H121*5.2+I121*7.8+J121*10.4+L121*1.9+S121*4.2+M121*2.6+P121*2.6</f>
        <v>948.35475412378366</v>
      </c>
      <c r="D121" s="2">
        <f>E121-M121-P121-Q121-R121</f>
        <v>466.47100563957054</v>
      </c>
      <c r="E121">
        <v>519</v>
      </c>
      <c r="F121" s="2">
        <f>AD121+J121</f>
        <v>107.19374580748114</v>
      </c>
      <c r="G121" s="2">
        <f>$AD121*AF121</f>
        <v>67.232262887413157</v>
      </c>
      <c r="H121" s="2">
        <f>$AD121*AG121</f>
        <v>20.589487683518421</v>
      </c>
      <c r="I121" s="2">
        <f>$AD121*AH121</f>
        <v>2.9111558803144217</v>
      </c>
      <c r="J121" s="2">
        <f>$E121*AI121</f>
        <v>16.599999999999962</v>
      </c>
      <c r="K121" s="2">
        <f>$E121*AJ121</f>
        <v>65.2567857142854</v>
      </c>
      <c r="L121" s="2">
        <f>$E121*AK121</f>
        <v>58.999999999999538</v>
      </c>
      <c r="M121" s="2">
        <f>$E121*(AB121/100)</f>
        <v>41.97053571381295</v>
      </c>
      <c r="N121" s="2">
        <f>$E121*AL121</f>
        <v>0.99267857142852833</v>
      </c>
      <c r="O121" s="2">
        <f>$E121*(AA121/100)</f>
        <v>103.80000000000001</v>
      </c>
      <c r="P121" s="2">
        <f>$E121*AM121</f>
        <v>4.9877819548872111</v>
      </c>
      <c r="Q121" s="2">
        <f>$E121*AN121</f>
        <v>3.5999999999999801</v>
      </c>
      <c r="R121" s="2">
        <f>$E121*AQ121</f>
        <v>1.970676691729309</v>
      </c>
      <c r="S121" s="2">
        <f>$E121*AO121</f>
        <v>26.894999999999939</v>
      </c>
      <c r="T121" s="2">
        <f>$E121*AP121</f>
        <v>6.0487499999999228</v>
      </c>
      <c r="U121" s="2">
        <f>S121-T121</f>
        <v>20.846250000000015</v>
      </c>
      <c r="V121" s="1">
        <f>F121/D121</f>
        <v>0.2297972317925947</v>
      </c>
      <c r="W121" s="1">
        <f>(F121+M121+N121+P121)/(D121+M121+N121+Q121)</f>
        <v>0.30240622559319169</v>
      </c>
      <c r="X121" s="1">
        <f>(G121+H121*2+I121*3+J121*4)/D121</f>
        <v>0.39347505777714537</v>
      </c>
      <c r="Y121" s="1">
        <f>W121+X121</f>
        <v>0.69588128337033706</v>
      </c>
      <c r="Z121">
        <v>0.2590828074</v>
      </c>
      <c r="AA121">
        <v>20</v>
      </c>
      <c r="AB121">
        <v>8.0868084226999901</v>
      </c>
      <c r="AD121" s="2">
        <f>(D121-O121-J121+Q121)*Z121</f>
        <v>90.59374580748117</v>
      </c>
      <c r="AE121">
        <v>0.21218110500000001</v>
      </c>
      <c r="AF121">
        <v>0.74212918660286997</v>
      </c>
      <c r="AG121">
        <v>0.22727272727272699</v>
      </c>
      <c r="AH121">
        <v>3.21341816078657E-2</v>
      </c>
      <c r="AI121">
        <v>3.1984585741811102E-2</v>
      </c>
      <c r="AJ121">
        <v>0.12573561794659999</v>
      </c>
      <c r="AK121">
        <v>0.11368015414258099</v>
      </c>
      <c r="AL121">
        <v>1.9126754748141201E-3</v>
      </c>
      <c r="AM121">
        <v>9.6103698552740102E-3</v>
      </c>
      <c r="AN121">
        <v>6.9364161849710601E-3</v>
      </c>
      <c r="AO121">
        <v>5.1820809248554797E-2</v>
      </c>
      <c r="AP121">
        <v>1.1654624277456499E-2</v>
      </c>
      <c r="AQ121">
        <v>3.7970649166267998E-3</v>
      </c>
    </row>
    <row r="122" spans="1:43" x14ac:dyDescent="0.4">
      <c r="A122" t="s">
        <v>180</v>
      </c>
      <c r="B122" s="3" t="s">
        <v>186</v>
      </c>
      <c r="C122" s="4">
        <f>K122*1.9+G122*2.6+H122*5.2+I122*7.8+J122*10.4+L122*1.9+S122*4.2+M122*2.6+P122*2.6</f>
        <v>947.49395803831305</v>
      </c>
      <c r="D122" s="2">
        <f>E122-M122-P122-Q122-R122</f>
        <v>469.41179290579214</v>
      </c>
      <c r="E122">
        <v>522</v>
      </c>
      <c r="F122" s="2">
        <f>AD122+J122</f>
        <v>112.90674399003082</v>
      </c>
      <c r="G122" s="2">
        <f>$AD122*AF122</f>
        <v>74.776537433954843</v>
      </c>
      <c r="H122" s="2">
        <f>$AD122*AG122</f>
        <v>20.85144514072087</v>
      </c>
      <c r="I122" s="2">
        <f>$AD122*AH122</f>
        <v>2.0063246183511487</v>
      </c>
      <c r="J122" s="2">
        <f>$E122*AI122</f>
        <v>15.599999999999966</v>
      </c>
      <c r="K122" s="2">
        <f>$E122*AJ122</f>
        <v>69.67755102040762</v>
      </c>
      <c r="L122" s="2">
        <f>$E122*AK122</f>
        <v>59.999999999999908</v>
      </c>
      <c r="M122" s="2">
        <f>$E122*(AB122/100)</f>
        <v>45.471428570717997</v>
      </c>
      <c r="N122" s="2">
        <f>$E122*AL122</f>
        <v>1.3887755102040547</v>
      </c>
      <c r="O122" s="2">
        <f>$E122*(AA122/100)</f>
        <v>128.72448981899998</v>
      </c>
      <c r="P122" s="2">
        <f>$E122*AM122</f>
        <v>3.7167785234899067</v>
      </c>
      <c r="Q122" s="2">
        <f>$E122*AN122</f>
        <v>2.9999999999999951</v>
      </c>
      <c r="R122" s="2">
        <f>$E122*AQ122</f>
        <v>0.39999999999999236</v>
      </c>
      <c r="S122" s="2">
        <f>$E122*AO122</f>
        <v>22.019387755102024</v>
      </c>
      <c r="T122" s="2">
        <f>$E122*AP122</f>
        <v>3.9551020408163011</v>
      </c>
      <c r="U122" s="2">
        <f>S122-T122</f>
        <v>18.064285714285724</v>
      </c>
      <c r="V122" s="1">
        <f>F122/D122</f>
        <v>0.2405281369074817</v>
      </c>
      <c r="W122" s="1">
        <f>(F122+M122+N122+P122)/(D122+M122+N122+Q122)</f>
        <v>0.31483254930580357</v>
      </c>
      <c r="X122" s="1">
        <f>(G122+H122*2+I122*3+J122*4)/D122</f>
        <v>0.39389381426886688</v>
      </c>
      <c r="Y122" s="1">
        <f>W122+X122</f>
        <v>0.70872636357467045</v>
      </c>
      <c r="Z122">
        <v>0.2965879602</v>
      </c>
      <c r="AA122">
        <v>24.659863949999998</v>
      </c>
      <c r="AB122">
        <v>8.7110016418999994</v>
      </c>
      <c r="AD122" s="2">
        <f>(D122-O122-J122+Q122)*Z122</f>
        <v>97.306743990030853</v>
      </c>
      <c r="AE122">
        <v>0.21728956599999999</v>
      </c>
      <c r="AF122">
        <v>0.76846202398485097</v>
      </c>
      <c r="AG122">
        <v>0.214285714285714</v>
      </c>
      <c r="AH122">
        <v>2.06185567010309E-2</v>
      </c>
      <c r="AI122">
        <v>2.9885057471264301E-2</v>
      </c>
      <c r="AJ122">
        <v>0.133481898506528</v>
      </c>
      <c r="AK122">
        <v>0.114942528735632</v>
      </c>
      <c r="AL122">
        <v>2.6604894831495302E-3</v>
      </c>
      <c r="AM122">
        <v>7.1202653706703197E-3</v>
      </c>
      <c r="AN122">
        <v>5.7471264367815996E-3</v>
      </c>
      <c r="AO122">
        <v>4.2182735163030699E-2</v>
      </c>
      <c r="AP122">
        <v>7.5768238329814198E-3</v>
      </c>
      <c r="AQ122">
        <v>7.6628352490419995E-4</v>
      </c>
    </row>
    <row r="123" spans="1:43" x14ac:dyDescent="0.4">
      <c r="A123" t="s">
        <v>257</v>
      </c>
      <c r="B123" t="s">
        <v>262</v>
      </c>
      <c r="C123" s="4">
        <f>K123*1.9+G123*2.6+H123*5.2+I123*7.8+J123*10.4+L123*1.9+S123*4.2+M123*2.6+P123*2.6</f>
        <v>945.86139099745355</v>
      </c>
      <c r="D123" s="2">
        <f>E123-M123-P123-Q123-R123</f>
        <v>483.21060605987287</v>
      </c>
      <c r="E123">
        <v>540</v>
      </c>
      <c r="F123" s="2">
        <f>AD123+J123</f>
        <v>105.99767765551032</v>
      </c>
      <c r="G123" s="2">
        <f>$AD123*AF123</f>
        <v>60.970571725386712</v>
      </c>
      <c r="H123" s="2">
        <f>$AD123*AG123</f>
        <v>21.399419413877588</v>
      </c>
      <c r="I123" s="2">
        <f>$AD123*AH123</f>
        <v>3.5972102018840952</v>
      </c>
      <c r="J123" s="2">
        <f>$E123*AI123</f>
        <v>20.399999999999959</v>
      </c>
      <c r="K123" s="2">
        <f>$E123*AJ123</f>
        <v>67.771428571428302</v>
      </c>
      <c r="L123" s="2">
        <f>$E123*AK123</f>
        <v>62.999999999999645</v>
      </c>
      <c r="M123" s="2">
        <f>$E123*(AB123/100)</f>
        <v>47.866666667400004</v>
      </c>
      <c r="N123" s="2">
        <f>$E123*AL123</f>
        <v>0.99523809523806483</v>
      </c>
      <c r="O123" s="2">
        <f>$E123*(AA123/100)</f>
        <v>133.33333330799999</v>
      </c>
      <c r="P123" s="2">
        <f>$E123*AM123</f>
        <v>4.9090909090908763</v>
      </c>
      <c r="Q123" s="2">
        <f>$E123*AN123</f>
        <v>2.9999999999999702</v>
      </c>
      <c r="R123" s="2">
        <f>$E123*AQ123</f>
        <v>1.0136363636363219</v>
      </c>
      <c r="S123" s="2">
        <f>$E123*AO123</f>
        <v>11.942857142857079</v>
      </c>
      <c r="T123" s="2">
        <f>$E123*AP123</f>
        <v>3.0809523809523496</v>
      </c>
      <c r="U123" s="2">
        <f>S123-T123</f>
        <v>8.8619047619047286</v>
      </c>
      <c r="V123" s="1">
        <f>F123/D123</f>
        <v>0.21936123985320083</v>
      </c>
      <c r="W123" s="1">
        <f>(F123+M123+N123+P123)/(D123+M123+N123+Q123)</f>
        <v>0.29859256473789614</v>
      </c>
      <c r="X123" s="1">
        <f>(G123+H123*2+I123*3+J123*4)/D123</f>
        <v>0.40595350908851618</v>
      </c>
      <c r="Y123" s="1">
        <f>W123+X123</f>
        <v>0.70454607382641232</v>
      </c>
      <c r="Z123">
        <v>0.25745422219999903</v>
      </c>
      <c r="AA123">
        <v>24.691358019999999</v>
      </c>
      <c r="AB123">
        <v>8.8641975310000003</v>
      </c>
      <c r="AD123" s="2">
        <f>(D123-O123-J123+Q123)*Z123</f>
        <v>85.597677655510353</v>
      </c>
      <c r="AE123">
        <v>0.19675188299999999</v>
      </c>
      <c r="AF123">
        <v>0.712292358803986</v>
      </c>
      <c r="AG123">
        <v>0.25</v>
      </c>
      <c r="AH123">
        <v>4.2024623803009503E-2</v>
      </c>
      <c r="AI123">
        <v>3.7777777777777702E-2</v>
      </c>
      <c r="AJ123">
        <v>0.125502645502645</v>
      </c>
      <c r="AK123">
        <v>0.116666666666666</v>
      </c>
      <c r="AL123">
        <v>1.84303350970012E-3</v>
      </c>
      <c r="AM123">
        <v>9.0909090909090298E-3</v>
      </c>
      <c r="AN123">
        <v>5.5555555555555003E-3</v>
      </c>
      <c r="AO123">
        <v>2.2116402116401999E-2</v>
      </c>
      <c r="AP123">
        <v>5.7054673721339804E-3</v>
      </c>
      <c r="AQ123">
        <v>1.8771043771042999E-3</v>
      </c>
    </row>
    <row r="124" spans="1:43" x14ac:dyDescent="0.4">
      <c r="A124" t="s">
        <v>229</v>
      </c>
      <c r="B124" t="s">
        <v>231</v>
      </c>
      <c r="C124" s="4">
        <f>K124*1.9+G124*2.6+H124*5.2+I124*7.8+J124*10.4+L124*1.9+S124*4.2+M124*2.6+P124*2.6</f>
        <v>939.56262737751013</v>
      </c>
      <c r="D124" s="2">
        <f>E124-M124-P124-Q124-R124</f>
        <v>504.59776469454567</v>
      </c>
      <c r="E124">
        <v>570</v>
      </c>
      <c r="F124" s="2">
        <f>AD124+J124</f>
        <v>136.24662216485191</v>
      </c>
      <c r="G124" s="2">
        <f>$AD124*AF124</f>
        <v>97.282444359844106</v>
      </c>
      <c r="H124" s="2">
        <f>$AD124*AG124</f>
        <v>24.125152677068105</v>
      </c>
      <c r="I124" s="2">
        <f>$AD124*AH124</f>
        <v>1.9912824431865594</v>
      </c>
      <c r="J124" s="2">
        <f>$E124*AI124</f>
        <v>11.599999999999911</v>
      </c>
      <c r="K124" s="2">
        <f>$E124*AJ124</f>
        <v>66.833497536945686</v>
      </c>
      <c r="L124" s="2">
        <f>$E124*AK124</f>
        <v>60.999999999999929</v>
      </c>
      <c r="M124" s="2">
        <f>$E124*(AB124/100)</f>
        <v>49.24778325066</v>
      </c>
      <c r="N124" s="2">
        <f>$E124*AL124</f>
        <v>1.3935960591132608</v>
      </c>
      <c r="O124" s="2">
        <f>$E124*(AA124/100)</f>
        <v>75.812807876999997</v>
      </c>
      <c r="P124" s="2">
        <f>$E124*AM124</f>
        <v>11.168835616438269</v>
      </c>
      <c r="Q124" s="2">
        <f>$E124*AN124</f>
        <v>3.9999999999999813</v>
      </c>
      <c r="R124" s="2">
        <f>$E124*AQ124</f>
        <v>0.98561643835611601</v>
      </c>
      <c r="S124" s="2">
        <f>$E124*AO124</f>
        <v>5.9615763546797105</v>
      </c>
      <c r="T124" s="2">
        <f>$E124*AP124</f>
        <v>2.0807881773398678</v>
      </c>
      <c r="U124" s="2">
        <f>S124-T124</f>
        <v>3.8807881773398427</v>
      </c>
      <c r="V124" s="1">
        <f>F124/D124</f>
        <v>0.27001035616423658</v>
      </c>
      <c r="W124" s="1">
        <f>(F124+M124+N124+P124)/(D124+M124+N124+Q124)</f>
        <v>0.35415410243445666</v>
      </c>
      <c r="X124" s="1">
        <f>(G124+H124*2+I124*3+J124*4)/D124</f>
        <v>0.3922066463440258</v>
      </c>
      <c r="Y124" s="1">
        <f>W124+X124</f>
        <v>0.74636074877848246</v>
      </c>
      <c r="Z124">
        <v>0.29594272100000002</v>
      </c>
      <c r="AA124">
        <v>13.300492609999999</v>
      </c>
      <c r="AB124">
        <v>8.6399619738000002</v>
      </c>
      <c r="AD124" s="2">
        <f>(D124-O124-J124+Q124)*Z124</f>
        <v>124.646622164852</v>
      </c>
      <c r="AE124">
        <v>0.24266907099999999</v>
      </c>
      <c r="AF124">
        <v>0.78046594982078799</v>
      </c>
      <c r="AG124">
        <v>0.19354838709677399</v>
      </c>
      <c r="AH124">
        <v>1.5975422427035198E-2</v>
      </c>
      <c r="AI124">
        <v>2.03508771929823E-2</v>
      </c>
      <c r="AJ124">
        <v>0.117251750064817</v>
      </c>
      <c r="AK124">
        <v>0.107017543859649</v>
      </c>
      <c r="AL124">
        <v>2.4449053668653699E-3</v>
      </c>
      <c r="AM124">
        <v>1.9594448449891701E-2</v>
      </c>
      <c r="AN124">
        <v>7.01754385964909E-3</v>
      </c>
      <c r="AO124">
        <v>1.0458905885403E-2</v>
      </c>
      <c r="AP124">
        <v>3.65050557428047E-3</v>
      </c>
      <c r="AQ124">
        <v>1.7291516462388001E-3</v>
      </c>
    </row>
    <row r="125" spans="1:43" x14ac:dyDescent="0.4">
      <c r="A125" t="s">
        <v>107</v>
      </c>
      <c r="B125" s="3" t="s">
        <v>112</v>
      </c>
      <c r="C125" s="4">
        <f>K125*1.9+G125*2.6+H125*5.2+I125*7.8+J125*10.4+L125*1.9+S125*4.2+M125*2.6+P125*2.6</f>
        <v>938.81116858263238</v>
      </c>
      <c r="D125" s="2">
        <f>E125-M125-P125-Q125-R125</f>
        <v>486.66926191348222</v>
      </c>
      <c r="E125">
        <v>541</v>
      </c>
      <c r="F125" s="2">
        <f>AD125+J125</f>
        <v>112.43110154184359</v>
      </c>
      <c r="G125" s="2">
        <f>$AD125*AF125</f>
        <v>70.071892079365384</v>
      </c>
      <c r="H125" s="2">
        <f>$AD125*AG125</f>
        <v>22.236294103339095</v>
      </c>
      <c r="I125" s="2">
        <f>$AD125*AH125</f>
        <v>5.549884974552409</v>
      </c>
      <c r="J125" s="2">
        <f>$E125*AI125</f>
        <v>15.399999999999979</v>
      </c>
      <c r="K125" s="2">
        <f>$E125*AJ125</f>
        <v>67.116376306619969</v>
      </c>
      <c r="L125" s="2">
        <f>$E125*AK125</f>
        <v>52.999999999999957</v>
      </c>
      <c r="M125" s="2">
        <f>$E125*(AB125/100)</f>
        <v>44.406794424546</v>
      </c>
      <c r="N125" s="2">
        <f>$E125*AL125</f>
        <v>0.99425087108011512</v>
      </c>
      <c r="O125" s="2">
        <f>$E125*(AA125/100)</f>
        <v>125.35365855109998</v>
      </c>
      <c r="P125" s="2">
        <f>$E125*AM125</f>
        <v>3.9809859154929375</v>
      </c>
      <c r="Q125" s="2">
        <f>$E125*AN125</f>
        <v>3.9999999999999813</v>
      </c>
      <c r="R125" s="2">
        <f>$E125*AQ125</f>
        <v>1.9429577464788326</v>
      </c>
      <c r="S125" s="2">
        <f>$E125*AO125</f>
        <v>19.885017421602736</v>
      </c>
      <c r="T125" s="2">
        <f>$E125*AP125</f>
        <v>5.0655052264807994</v>
      </c>
      <c r="U125" s="2">
        <f>S125-T125</f>
        <v>14.819512195121938</v>
      </c>
      <c r="V125" s="1">
        <f>F125/D125</f>
        <v>0.23102157941881907</v>
      </c>
      <c r="W125" s="1">
        <f>(F125+M125+N125+P125)/(D125+M125+N125+Q125)</f>
        <v>0.30185057925590936</v>
      </c>
      <c r="X125" s="1">
        <f>(G125+H125*2+I125*3+J125*4)/D125</f>
        <v>0.39615022007281564</v>
      </c>
      <c r="Y125" s="1">
        <f>W125+X125</f>
        <v>0.69800079932872494</v>
      </c>
      <c r="Z125">
        <v>0.27729858460000001</v>
      </c>
      <c r="AA125">
        <v>23.170731709999998</v>
      </c>
      <c r="AB125">
        <v>8.2082799305999998</v>
      </c>
      <c r="AD125" s="2">
        <f>(D125-O125-J125+Q125)*Z125</f>
        <v>97.031101541843611</v>
      </c>
      <c r="AE125">
        <v>0.21131954999999999</v>
      </c>
      <c r="AF125">
        <v>0.72215909090909003</v>
      </c>
      <c r="AG125">
        <v>0.22916666666666599</v>
      </c>
      <c r="AH125">
        <v>5.71969696969696E-2</v>
      </c>
      <c r="AI125">
        <v>2.84658040665434E-2</v>
      </c>
      <c r="AJ125">
        <v>0.124059845298743</v>
      </c>
      <c r="AK125">
        <v>9.7966728280961105E-2</v>
      </c>
      <c r="AL125">
        <v>1.8378019798153699E-3</v>
      </c>
      <c r="AM125">
        <v>7.3585691598760401E-3</v>
      </c>
      <c r="AN125">
        <v>7.3937153419592998E-3</v>
      </c>
      <c r="AO125">
        <v>3.6756039596308202E-2</v>
      </c>
      <c r="AP125">
        <v>9.3632259269515704E-3</v>
      </c>
      <c r="AQ125">
        <v>3.59141912472982E-3</v>
      </c>
    </row>
    <row r="126" spans="1:43" x14ac:dyDescent="0.4">
      <c r="A126" t="s">
        <v>239</v>
      </c>
      <c r="B126" t="s">
        <v>245</v>
      </c>
      <c r="C126" s="4">
        <f>K126*1.9+G126*2.6+H126*5.2+I126*7.8+J126*10.4+L126*1.9+S126*4.2+M126*2.6+P126*2.6</f>
        <v>937.45771352162319</v>
      </c>
      <c r="D126" s="2">
        <f>E126-M126-P126-Q126-R126</f>
        <v>456.35747939720545</v>
      </c>
      <c r="E126">
        <v>503</v>
      </c>
      <c r="F126" s="2">
        <f>AD126+J126</f>
        <v>109.89120067180485</v>
      </c>
      <c r="G126" s="2">
        <f>$AD126*AF126</f>
        <v>67.120584830138128</v>
      </c>
      <c r="H126" s="2">
        <f>$AD126*AG126</f>
        <v>24.389008870905595</v>
      </c>
      <c r="I126" s="2">
        <f>$AD126*AH126</f>
        <v>1.9559343298443346</v>
      </c>
      <c r="J126" s="2">
        <f>$E126*AI126</f>
        <v>16.399999999999967</v>
      </c>
      <c r="K126" s="2">
        <f>$E126*AJ126</f>
        <v>62.081318681318194</v>
      </c>
      <c r="L126" s="2">
        <f>$E126*AK126</f>
        <v>58.999999999999545</v>
      </c>
      <c r="M126" s="2">
        <f>$E126*(AB126/100)</f>
        <v>41.137728936128006</v>
      </c>
      <c r="N126" s="2">
        <f>$E126*AL126</f>
        <v>2.9763736263736118</v>
      </c>
      <c r="O126" s="2">
        <f>$E126*(AA126/100)</f>
        <v>148.3205128347</v>
      </c>
      <c r="P126" s="2">
        <f>$E126*AM126</f>
        <v>1.9047916666666231</v>
      </c>
      <c r="Q126" s="2">
        <f>$E126*AN126</f>
        <v>3.5999999999999766</v>
      </c>
      <c r="R126" s="2">
        <f>$E126*AQ126</f>
        <v>0</v>
      </c>
      <c r="S126" s="2">
        <f>$E126*AO126</f>
        <v>25.795238095238037</v>
      </c>
      <c r="T126" s="2">
        <f>$E126*AP126</f>
        <v>3.8763736263735877</v>
      </c>
      <c r="U126" s="2">
        <f>S126-T126</f>
        <v>21.918864468864449</v>
      </c>
      <c r="V126" s="1">
        <f>F126/D126</f>
        <v>0.2408007004003927</v>
      </c>
      <c r="W126" s="1">
        <f>(F126+M126+N126+P126)/(D126+M126+N126+Q126)</f>
        <v>0.3093014970112633</v>
      </c>
      <c r="X126" s="1">
        <f>(G126+H126*2+I126*3+J126*4)/D126</f>
        <v>0.41056937602725641</v>
      </c>
      <c r="Y126" s="1">
        <f>W126+X126</f>
        <v>0.71987087303851971</v>
      </c>
      <c r="Z126">
        <v>0.31666495480000001</v>
      </c>
      <c r="AA126">
        <v>29.487179489999999</v>
      </c>
      <c r="AB126">
        <v>8.1784749376000008</v>
      </c>
      <c r="AD126" s="2">
        <f>(D126-O126-J126+Q126)*Z126</f>
        <v>93.49120067180489</v>
      </c>
      <c r="AE126">
        <v>0.22174964999999999</v>
      </c>
      <c r="AF126">
        <v>0.71793478260869503</v>
      </c>
      <c r="AG126">
        <v>0.26086956521739102</v>
      </c>
      <c r="AH126">
        <v>2.0921052631578899E-2</v>
      </c>
      <c r="AI126">
        <v>3.2604373757455202E-2</v>
      </c>
      <c r="AJ126">
        <v>0.123422104734231</v>
      </c>
      <c r="AK126">
        <v>0.117296222664015</v>
      </c>
      <c r="AL126">
        <v>5.9172437900071803E-3</v>
      </c>
      <c r="AM126">
        <v>3.7868621603710201E-3</v>
      </c>
      <c r="AN126">
        <v>7.1570576540755E-3</v>
      </c>
      <c r="AO126">
        <v>5.1282779513395702E-2</v>
      </c>
      <c r="AP126">
        <v>7.7065082035260198E-3</v>
      </c>
      <c r="AQ126">
        <v>0</v>
      </c>
    </row>
    <row r="127" spans="1:43" x14ac:dyDescent="0.4">
      <c r="A127" t="s">
        <v>162</v>
      </c>
      <c r="B127" s="3" t="s">
        <v>167</v>
      </c>
      <c r="C127" s="4">
        <f>K127*1.9+G127*2.6+H127*5.2+I127*7.8+J127*10.4+L127*1.9+S127*4.2+M127*2.6+P127*2.6</f>
        <v>935.37435588787605</v>
      </c>
      <c r="D127" s="2">
        <f>E127-M127-P127-Q127-R127</f>
        <v>442.96099216183421</v>
      </c>
      <c r="E127">
        <v>508</v>
      </c>
      <c r="F127" s="2">
        <f>AD127+J127</f>
        <v>99.875909360153813</v>
      </c>
      <c r="G127" s="2">
        <f>$AD127*AF127</f>
        <v>53.196170912747284</v>
      </c>
      <c r="H127" s="2">
        <f>$AD127*AG127</f>
        <v>21.357254620843086</v>
      </c>
      <c r="I127" s="2">
        <f>$AD127*AH127</f>
        <v>1.9310356800038933</v>
      </c>
      <c r="J127" s="2">
        <f>$E127*AI127</f>
        <v>23.599999999999937</v>
      </c>
      <c r="K127" s="2">
        <f>$E127*AJ127</f>
        <v>61.681853281853158</v>
      </c>
      <c r="L127" s="2">
        <f>$E127*AK127</f>
        <v>67.999999999999787</v>
      </c>
      <c r="M127" s="2">
        <f>$E127*(AB127/100)</f>
        <v>49.199613898772</v>
      </c>
      <c r="N127" s="2">
        <f>$E127*AL127</f>
        <v>2.2980694980694749</v>
      </c>
      <c r="O127" s="2">
        <f>$E127*(AA127/100)</f>
        <v>173.58301158360001</v>
      </c>
      <c r="P127" s="2">
        <f>$E127*AM127</f>
        <v>13.23939393939386</v>
      </c>
      <c r="Q127" s="2">
        <f>$E127*AN127</f>
        <v>2.5999999999999837</v>
      </c>
      <c r="R127" s="2">
        <f>$E127*AQ127</f>
        <v>0</v>
      </c>
      <c r="S127" s="2">
        <f>$E127*AO127</f>
        <v>3.9922779922779474</v>
      </c>
      <c r="T127" s="2">
        <f>$E127*AP127</f>
        <v>0.99806949806946266</v>
      </c>
      <c r="U127" s="2">
        <f>S127-T127</f>
        <v>2.9942084942084848</v>
      </c>
      <c r="V127" s="1">
        <f>F127/D127</f>
        <v>0.22547337379013388</v>
      </c>
      <c r="W127" s="1">
        <f>(F127+M127+N127+P127)/(D127+M127+N127+Q127)</f>
        <v>0.33117415466367273</v>
      </c>
      <c r="X127" s="1">
        <f>(G127+H127*2+I127*3+J127*4)/D127</f>
        <v>0.44271118826372657</v>
      </c>
      <c r="Y127" s="1">
        <f>W127+X127</f>
        <v>0.7738853429273993</v>
      </c>
      <c r="Z127">
        <v>0.30709610079999999</v>
      </c>
      <c r="AA127">
        <v>34.169884170000003</v>
      </c>
      <c r="AB127">
        <v>9.6849633658999998</v>
      </c>
      <c r="AD127" s="2">
        <f>(D127-O127-J127+Q127)*Z127</f>
        <v>76.275909360153875</v>
      </c>
      <c r="AE127">
        <v>0.20015564199999999</v>
      </c>
      <c r="AF127">
        <v>0.69741772151898695</v>
      </c>
      <c r="AG127">
        <v>0.28000000000000003</v>
      </c>
      <c r="AH127">
        <v>2.53164556962025E-2</v>
      </c>
      <c r="AI127">
        <v>4.6456692913385701E-2</v>
      </c>
      <c r="AJ127">
        <v>0.12142097102726999</v>
      </c>
      <c r="AK127">
        <v>0.133858267716535</v>
      </c>
      <c r="AL127">
        <v>4.52375885446747E-3</v>
      </c>
      <c r="AM127">
        <v>2.6061799093295E-2</v>
      </c>
      <c r="AN127">
        <v>5.1181102362204403E-3</v>
      </c>
      <c r="AO127">
        <v>7.8588149454290306E-3</v>
      </c>
      <c r="AP127">
        <v>1.96470373635721E-3</v>
      </c>
      <c r="AQ127">
        <v>0</v>
      </c>
    </row>
    <row r="128" spans="1:43" x14ac:dyDescent="0.4">
      <c r="A128" t="s">
        <v>138</v>
      </c>
      <c r="B128" t="s">
        <v>147</v>
      </c>
      <c r="C128" s="4">
        <f>K128*1.9+G128*2.6+H128*5.2+I128*7.8+J128*10.4+L128*1.9+S128*4.2+M128*2.6+P128*2.6</f>
        <v>930.17811731066718</v>
      </c>
      <c r="D128" s="2">
        <f>E128-M128-P128-Q128-R128</f>
        <v>488.85672302953992</v>
      </c>
      <c r="E128">
        <v>537</v>
      </c>
      <c r="F128" s="2">
        <f>AD128+J128</f>
        <v>120.18363612076982</v>
      </c>
      <c r="G128" s="2">
        <f>$AD128*AF128</f>
        <v>80.688190902332863</v>
      </c>
      <c r="H128" s="2">
        <f>$AD128*AG128</f>
        <v>22.826144729423103</v>
      </c>
      <c r="I128" s="2">
        <f>$AD128*AH128</f>
        <v>2.9720644706728039</v>
      </c>
      <c r="J128" s="2">
        <f>$E128*AI128</f>
        <v>12.999999999999973</v>
      </c>
      <c r="K128" s="2">
        <f>$E128*AJ128</f>
        <v>69.266995073891479</v>
      </c>
      <c r="L128" s="2">
        <f>$E128*AK128</f>
        <v>55.999999999999787</v>
      </c>
      <c r="M128" s="2">
        <f>$E128*(AB128/100)</f>
        <v>37.003448276669999</v>
      </c>
      <c r="N128" s="2">
        <f>$E128*AL128</f>
        <v>0.98817733990145129</v>
      </c>
      <c r="O128" s="2">
        <f>$E128*(AA128/100)</f>
        <v>95.231527105500007</v>
      </c>
      <c r="P128" s="2">
        <f>$E128*AM128</f>
        <v>4.9599571734475107</v>
      </c>
      <c r="Q128" s="2">
        <f>$E128*AN128</f>
        <v>4</v>
      </c>
      <c r="R128" s="2">
        <f>$E128*AQ128</f>
        <v>2.1798715203425822</v>
      </c>
      <c r="S128" s="2">
        <f>$E128*AO128</f>
        <v>22.904433497536886</v>
      </c>
      <c r="T128" s="2">
        <f>$E128*AP128</f>
        <v>3.9527093596059015</v>
      </c>
      <c r="U128" s="2">
        <f>S128-T128</f>
        <v>18.951724137930984</v>
      </c>
      <c r="V128" s="1">
        <f>F128/D128</f>
        <v>0.24584633995819577</v>
      </c>
      <c r="W128" s="1">
        <f>(F128+M128+N128+P128)/(D128+M128+N128+Q128)</f>
        <v>0.30731040103421786</v>
      </c>
      <c r="X128" s="1">
        <f>(G128+H128*2+I128*3+J128*4)/D128</f>
        <v>0.38305021686667501</v>
      </c>
      <c r="Y128" s="1">
        <f>W128+X128</f>
        <v>0.69036061790089287</v>
      </c>
      <c r="Z128">
        <v>0.2786703452</v>
      </c>
      <c r="AA128">
        <v>17.73399015</v>
      </c>
      <c r="AB128">
        <v>6.8907724909999999</v>
      </c>
      <c r="AD128" s="2">
        <f>(D128-O128-J128+Q128)*Z128</f>
        <v>107.18363612076985</v>
      </c>
      <c r="AE128">
        <v>0.227523964</v>
      </c>
      <c r="AF128">
        <v>0.75280326197757397</v>
      </c>
      <c r="AG128">
        <v>0.21296296296296199</v>
      </c>
      <c r="AH128">
        <v>2.7728714738917901E-2</v>
      </c>
      <c r="AI128">
        <v>2.4208566108007399E-2</v>
      </c>
      <c r="AJ128">
        <v>0.128988817642256</v>
      </c>
      <c r="AK128">
        <v>0.10428305400372399</v>
      </c>
      <c r="AL128">
        <v>1.8401812661107101E-3</v>
      </c>
      <c r="AM128">
        <v>9.2364193174069107E-3</v>
      </c>
      <c r="AN128">
        <v>7.4487895716945996E-3</v>
      </c>
      <c r="AO128">
        <v>4.2652576345506302E-2</v>
      </c>
      <c r="AP128">
        <v>7.3607250644430198E-3</v>
      </c>
      <c r="AQ128">
        <v>4.05935106209047E-3</v>
      </c>
    </row>
    <row r="129" spans="1:43" x14ac:dyDescent="0.4">
      <c r="A129" t="s">
        <v>129</v>
      </c>
      <c r="B129" t="s">
        <v>133</v>
      </c>
      <c r="C129" s="4">
        <f>K129*1.9+G129*2.6+H129*5.2+I129*7.8+J129*10.4+L129*1.9+S129*4.2+M129*2.6+P129*2.6</f>
        <v>927.112459443533</v>
      </c>
      <c r="D129" s="2">
        <f>E129-M129-P129-Q129-R129</f>
        <v>494.37996569146543</v>
      </c>
      <c r="E129">
        <v>541</v>
      </c>
      <c r="F129" s="2">
        <f>AD129+J129</f>
        <v>123.70720772971633</v>
      </c>
      <c r="G129" s="2">
        <f>$AD129*AF129</f>
        <v>87.102199822234908</v>
      </c>
      <c r="H129" s="2">
        <f>$AD129*AG129</f>
        <v>21.020466930218486</v>
      </c>
      <c r="I129" s="2">
        <f>$AD129*AH129</f>
        <v>2.9245867033347501</v>
      </c>
      <c r="J129" s="2">
        <f>$E129*AI129</f>
        <v>13.599999999999925</v>
      </c>
      <c r="K129" s="2">
        <f>$E129*AJ129</f>
        <v>65.279327731092224</v>
      </c>
      <c r="L129" s="2">
        <f>$E129*AK129</f>
        <v>55.999999999999631</v>
      </c>
      <c r="M129" s="2">
        <f>$E129*(AB129/100)</f>
        <v>35.855126051654004</v>
      </c>
      <c r="N129" s="2">
        <f>$E129*AL129</f>
        <v>0.39999999999999269</v>
      </c>
      <c r="O129" s="2">
        <f>$E129*(AA129/100)</f>
        <v>88.196638664099993</v>
      </c>
      <c r="P129" s="2">
        <f>$E129*AM129</f>
        <v>6.0204128440366489</v>
      </c>
      <c r="Q129" s="2">
        <f>$E129*AN129</f>
        <v>3.5999999999999885</v>
      </c>
      <c r="R129" s="2">
        <f>$E129*AQ129</f>
        <v>1.1444954128440046</v>
      </c>
      <c r="S129" s="2">
        <f>$E129*AO129</f>
        <v>20.900336134453731</v>
      </c>
      <c r="T129" s="2">
        <f>$E129*AP129</f>
        <v>6.0364705882352423</v>
      </c>
      <c r="U129" s="2">
        <f>S129-T129</f>
        <v>14.863865546218488</v>
      </c>
      <c r="V129" s="1">
        <f>F129/D129</f>
        <v>0.25022698392863274</v>
      </c>
      <c r="W129" s="1">
        <f>(F129+M129+N129+P129)/(D129+M129+N129+Q129)</f>
        <v>0.31069233225363979</v>
      </c>
      <c r="X129" s="1">
        <f>(G129+H129*2+I129*3+J129*4)/D129</f>
        <v>0.38900624446561349</v>
      </c>
      <c r="Y129" s="1">
        <f>W129+X129</f>
        <v>0.69969857671925328</v>
      </c>
      <c r="Z129">
        <v>0.27791984219999999</v>
      </c>
      <c r="AA129">
        <v>16.30252101</v>
      </c>
      <c r="AB129">
        <v>6.6275648894000003</v>
      </c>
      <c r="AD129" s="2">
        <f>(D129-O129-J129+Q129)*Z129</f>
        <v>110.10720772971641</v>
      </c>
      <c r="AE129">
        <v>0.237762741</v>
      </c>
      <c r="AF129">
        <v>0.79106719367588896</v>
      </c>
      <c r="AG129">
        <v>0.19090909090909</v>
      </c>
      <c r="AH129">
        <v>2.6561264822134299E-2</v>
      </c>
      <c r="AI129">
        <v>2.51386321626616E-2</v>
      </c>
      <c r="AJ129">
        <v>0.120664191739542</v>
      </c>
      <c r="AK129">
        <v>0.10351201478743</v>
      </c>
      <c r="AL129">
        <v>7.3937153419591998E-4</v>
      </c>
      <c r="AM129">
        <v>1.11283047024707E-2</v>
      </c>
      <c r="AN129">
        <v>6.6543438077633797E-3</v>
      </c>
      <c r="AO129">
        <v>3.8632783982354403E-2</v>
      </c>
      <c r="AP129">
        <v>1.1157986299880299E-2</v>
      </c>
      <c r="AQ129">
        <v>2.1155183231866999E-3</v>
      </c>
    </row>
    <row r="130" spans="1:43" x14ac:dyDescent="0.4">
      <c r="A130" t="s">
        <v>149</v>
      </c>
      <c r="B130" s="3" t="s">
        <v>150</v>
      </c>
      <c r="C130" s="4">
        <f>K130*1.9+G130*2.6+H130*5.2+I130*7.8+J130*10.4+L130*1.9+S130*4.2+M130*2.6+P130*2.6</f>
        <v>926.86669034647298</v>
      </c>
      <c r="D130" s="2">
        <f>E130-M130-P130-Q130-R130</f>
        <v>497.8808256615705</v>
      </c>
      <c r="E130">
        <v>547</v>
      </c>
      <c r="F130" s="2">
        <f>AD130+J130</f>
        <v>123.63597163777533</v>
      </c>
      <c r="G130" s="2">
        <f>$AD130*AF130</f>
        <v>77.827052980732986</v>
      </c>
      <c r="H130" s="2">
        <f>$AD130*AG130</f>
        <v>26.254106250775035</v>
      </c>
      <c r="I130" s="2">
        <f>$AD130*AH130</f>
        <v>2.0703746567724934</v>
      </c>
      <c r="J130" s="2">
        <f>$E130*AI130</f>
        <v>16.599999999999948</v>
      </c>
      <c r="K130" s="2">
        <f>$E130*AJ130</f>
        <v>68.336734693877403</v>
      </c>
      <c r="L130" s="2">
        <f>$E130*AK130</f>
        <v>59.99999999999995</v>
      </c>
      <c r="M130" s="2">
        <f>$E130*(AB130/100)</f>
        <v>40.372278913593</v>
      </c>
      <c r="N130" s="2">
        <f>$E130*AL130</f>
        <v>0</v>
      </c>
      <c r="O130" s="2">
        <f>$E130*(AA130/100)</f>
        <v>150.7040816427</v>
      </c>
      <c r="P130" s="2">
        <f>$E130*AM130</f>
        <v>4.9468954248365691</v>
      </c>
      <c r="Q130" s="2">
        <f>$E130*AN130</f>
        <v>3.3999999999999804</v>
      </c>
      <c r="R130" s="2">
        <f>$E130*AQ130</f>
        <v>0.3999999999999887</v>
      </c>
      <c r="S130" s="2">
        <f>$E130*AO130</f>
        <v>8.9372448979591201</v>
      </c>
      <c r="T130" s="2">
        <f>$E130*AP130</f>
        <v>3.0721088435373782</v>
      </c>
      <c r="U130" s="2">
        <f>S130-T130</f>
        <v>5.8651360544217415</v>
      </c>
      <c r="V130" s="1">
        <f>F130/D130</f>
        <v>0.24832442878974342</v>
      </c>
      <c r="W130" s="1">
        <f>(F130+M130+N130+P130)/(D130+M130+N130+Q130)</f>
        <v>0.3119250024583945</v>
      </c>
      <c r="X130" s="1">
        <f>(G130+H130*2+I130*3+J130*4)/D130</f>
        <v>0.40762041635753032</v>
      </c>
      <c r="Y130" s="1">
        <f>W130+X130</f>
        <v>0.71954541881592482</v>
      </c>
      <c r="Z130">
        <v>0.3204892962</v>
      </c>
      <c r="AA130">
        <v>27.55102041</v>
      </c>
      <c r="AB130">
        <v>7.3806725619</v>
      </c>
      <c r="AD130" s="2">
        <f>(D130-O130-J130+Q130)*Z130</f>
        <v>107.03597163777538</v>
      </c>
      <c r="AE130">
        <v>0.21979738099999999</v>
      </c>
      <c r="AF130">
        <v>0.72711119252610301</v>
      </c>
      <c r="AG130">
        <v>0.245283018867924</v>
      </c>
      <c r="AH130">
        <v>1.93427931292008E-2</v>
      </c>
      <c r="AI130">
        <v>3.0347349177330799E-2</v>
      </c>
      <c r="AJ130">
        <v>0.1249300451442</v>
      </c>
      <c r="AK130">
        <v>0.10968921389396701</v>
      </c>
      <c r="AL130">
        <v>0</v>
      </c>
      <c r="AM130">
        <v>9.0436845060997608E-3</v>
      </c>
      <c r="AN130">
        <v>6.2157221206580997E-3</v>
      </c>
      <c r="AO130">
        <v>1.6338656120583401E-2</v>
      </c>
      <c r="AP130">
        <v>5.6162867340719897E-3</v>
      </c>
      <c r="AQ130">
        <v>7.3126142595975995E-4</v>
      </c>
    </row>
    <row r="131" spans="1:43" x14ac:dyDescent="0.4">
      <c r="A131" t="s">
        <v>115</v>
      </c>
      <c r="B131" s="3" t="s">
        <v>120</v>
      </c>
      <c r="C131" s="4">
        <f>K131*1.9+G131*2.6+H131*5.2+I131*7.8+J131*10.4+L131*1.9+S131*4.2+M131*2.6+P131*2.6</f>
        <v>925.10469363673315</v>
      </c>
      <c r="D131" s="2">
        <f>E131-M131-P131-Q131-R131</f>
        <v>507.85380434646163</v>
      </c>
      <c r="E131">
        <v>541</v>
      </c>
      <c r="F131" s="2">
        <f>AD131+J131</f>
        <v>140.38763735799159</v>
      </c>
      <c r="G131" s="2">
        <f>$AD131*AF131</f>
        <v>93.818401668713307</v>
      </c>
      <c r="H131" s="2">
        <f>$AD131*AG131</f>
        <v>25.701451799250236</v>
      </c>
      <c r="I131" s="2">
        <f>$AD131*AH131</f>
        <v>1.594591965350703</v>
      </c>
      <c r="J131" s="2">
        <f>$E131*AI131</f>
        <v>18.799999999999962</v>
      </c>
      <c r="K131" s="2">
        <f>$E131*AJ131</f>
        <v>63.187478260869405</v>
      </c>
      <c r="L131" s="2">
        <f>$E131*AK131</f>
        <v>73.999999999999631</v>
      </c>
      <c r="M131" s="2">
        <f>$E131*(AB131/100)</f>
        <v>24.852173914407999</v>
      </c>
      <c r="N131" s="2">
        <f>$E131*AL131</f>
        <v>0.9940869565217223</v>
      </c>
      <c r="O131" s="2">
        <f>$E131*(AA131/100)</f>
        <v>96.909565226799998</v>
      </c>
      <c r="P131" s="2">
        <f>$E131*AM131</f>
        <v>3.894021739130415</v>
      </c>
      <c r="Q131" s="2">
        <f>$E131*AN131</f>
        <v>4.3999999999999684</v>
      </c>
      <c r="R131" s="2">
        <f>$E131*AQ131</f>
        <v>0</v>
      </c>
      <c r="S131" s="2">
        <f>$E131*AO131</f>
        <v>0.9940869565217223</v>
      </c>
      <c r="T131" s="2">
        <f>$E131*AP131</f>
        <v>0</v>
      </c>
      <c r="U131" s="2">
        <f>S131-T131</f>
        <v>0.9940869565217223</v>
      </c>
      <c r="V131" s="1">
        <f>F131/D131</f>
        <v>0.27643317064179773</v>
      </c>
      <c r="W131" s="1">
        <f>(F131+M131+N131+P131)/(D131+M131+N131+Q131)</f>
        <v>0.31616409468250184</v>
      </c>
      <c r="X131" s="1">
        <f>(G131+H131*2+I131*3+J131*4)/D131</f>
        <v>0.44344470640142958</v>
      </c>
      <c r="Y131" s="1">
        <f>W131+X131</f>
        <v>0.75960880108393147</v>
      </c>
      <c r="Z131">
        <v>0.30661809039999999</v>
      </c>
      <c r="AA131">
        <v>17.913043479999999</v>
      </c>
      <c r="AB131">
        <v>4.5937474888000001</v>
      </c>
      <c r="AD131" s="2">
        <f>(D131-O131-J131+Q131)*Z131</f>
        <v>121.58763735799162</v>
      </c>
      <c r="AE131">
        <v>0.26290265000000002</v>
      </c>
      <c r="AF131">
        <v>0.77161135545781601</v>
      </c>
      <c r="AG131">
        <v>0.211382113821138</v>
      </c>
      <c r="AH131">
        <v>1.31147540983606E-2</v>
      </c>
      <c r="AI131">
        <v>3.47504621072088E-2</v>
      </c>
      <c r="AJ131">
        <v>0.11679755685927801</v>
      </c>
      <c r="AK131">
        <v>0.13678373382624701</v>
      </c>
      <c r="AL131">
        <v>1.83749899541908E-3</v>
      </c>
      <c r="AM131">
        <v>7.1978220686329296E-3</v>
      </c>
      <c r="AN131">
        <v>8.1330868761552103E-3</v>
      </c>
      <c r="AO131">
        <v>1.83749899541908E-3</v>
      </c>
      <c r="AP131">
        <v>0</v>
      </c>
      <c r="AQ131">
        <v>0</v>
      </c>
    </row>
    <row r="132" spans="1:43" x14ac:dyDescent="0.4">
      <c r="A132" t="s">
        <v>223</v>
      </c>
      <c r="B132" s="3" t="s">
        <v>227</v>
      </c>
      <c r="C132" s="4">
        <f>K132*1.9+G132*2.6+H132*5.2+I132*7.8+J132*10.4+L132*1.9+S132*4.2+M132*2.6+P132*2.6</f>
        <v>922.72106515669498</v>
      </c>
      <c r="D132" s="2">
        <f>E132-M132-P132-Q132-R132</f>
        <v>491.65349397577836</v>
      </c>
      <c r="E132">
        <v>537</v>
      </c>
      <c r="F132" s="2">
        <f>AD132+J132</f>
        <v>114.68105174342566</v>
      </c>
      <c r="G132" s="2">
        <f>$AD132*AF132</f>
        <v>71.750480555924398</v>
      </c>
      <c r="H132" s="2">
        <f>$AD132*AG132</f>
        <v>23.112899898967221</v>
      </c>
      <c r="I132" s="2">
        <f>$AD132*AH132</f>
        <v>3.027157933876377</v>
      </c>
      <c r="J132" s="2">
        <f>$E132*AI132</f>
        <v>16.199999999999932</v>
      </c>
      <c r="K132" s="2">
        <f>$E132*AJ132</f>
        <v>65.928399311531336</v>
      </c>
      <c r="L132" s="2">
        <f>$E132*AK132</f>
        <v>56.999999999999979</v>
      </c>
      <c r="M132" s="2">
        <f>$E132*(AB132/100)</f>
        <v>34.112220309935999</v>
      </c>
      <c r="N132" s="2">
        <f>$E132*AL132</f>
        <v>0</v>
      </c>
      <c r="O132" s="2">
        <f>$E132*(AA132/100)</f>
        <v>163.59552497369998</v>
      </c>
      <c r="P132" s="2">
        <f>$E132*AM132</f>
        <v>7.1767346938775054</v>
      </c>
      <c r="Q132" s="2">
        <f>$E132*AN132</f>
        <v>2.9999999999999729</v>
      </c>
      <c r="R132" s="2">
        <f>$E132*AQ132</f>
        <v>1.0575510204081486</v>
      </c>
      <c r="S132" s="2">
        <f>$E132*AO132</f>
        <v>19.756110154905301</v>
      </c>
      <c r="T132" s="2">
        <f>$E132*AP132</f>
        <v>4.0621342512908747</v>
      </c>
      <c r="U132" s="2">
        <f>S132-T132</f>
        <v>15.693975903614426</v>
      </c>
      <c r="V132" s="1">
        <f>F132/D132</f>
        <v>0.23325584613678246</v>
      </c>
      <c r="W132" s="1">
        <f>(F132+M132+N132+P132)/(D132+M132+N132+Q132)</f>
        <v>0.29496996974913919</v>
      </c>
      <c r="X132" s="1">
        <f>(G132+H132*2+I132*3+J132*4)/D132</f>
        <v>0.39022961599239586</v>
      </c>
      <c r="Y132" s="1">
        <f>W132+X132</f>
        <v>0.68519958574153506</v>
      </c>
      <c r="Z132">
        <v>0.31277928919999998</v>
      </c>
      <c r="AA132">
        <v>30.46471601</v>
      </c>
      <c r="AB132">
        <v>6.3523687728000002</v>
      </c>
      <c r="AD132" s="2">
        <f>(D132-O132-J132+Q132)*Z132</f>
        <v>98.481051743425724</v>
      </c>
      <c r="AE132">
        <v>0.21560639400000001</v>
      </c>
      <c r="AF132">
        <v>0.72857142857142798</v>
      </c>
      <c r="AG132">
        <v>0.23469387755102</v>
      </c>
      <c r="AH132">
        <v>3.07384809593939E-2</v>
      </c>
      <c r="AI132">
        <v>3.0167597765363E-2</v>
      </c>
      <c r="AJ132">
        <v>0.122771693317563</v>
      </c>
      <c r="AK132">
        <v>0.106145251396648</v>
      </c>
      <c r="AL132">
        <v>0</v>
      </c>
      <c r="AM132">
        <v>1.3364496636643399E-2</v>
      </c>
      <c r="AN132">
        <v>5.5865921787708996E-3</v>
      </c>
      <c r="AO132">
        <v>3.6789776824777097E-2</v>
      </c>
      <c r="AP132">
        <v>7.5644958124597298E-3</v>
      </c>
      <c r="AQ132">
        <v>1.9693687530878E-3</v>
      </c>
    </row>
    <row r="133" spans="1:43" x14ac:dyDescent="0.4">
      <c r="A133" t="s">
        <v>149</v>
      </c>
      <c r="B133" t="s">
        <v>152</v>
      </c>
      <c r="C133" s="4">
        <f>K133*1.9+G133*2.6+H133*5.2+I133*7.8+J133*10.4+L133*1.9+S133*4.2+M133*2.6+P133*2.6</f>
        <v>921.16633083143449</v>
      </c>
      <c r="D133" s="2">
        <f>E133-M133-P133-Q133-R133</f>
        <v>461.67242694424863</v>
      </c>
      <c r="E133">
        <v>515</v>
      </c>
      <c r="F133" s="2">
        <f>AD133+J133</f>
        <v>114.1675564228364</v>
      </c>
      <c r="G133" s="2">
        <f>$AD133*AF133</f>
        <v>71.380097554994805</v>
      </c>
      <c r="H133" s="2">
        <f>$AD133*AG133</f>
        <v>22.896393726304527</v>
      </c>
      <c r="I133" s="2">
        <f>$AD133*AH133</f>
        <v>1.9786753520535632</v>
      </c>
      <c r="J133" s="2">
        <f>$E133*AI133</f>
        <v>18.599999999999984</v>
      </c>
      <c r="K133" s="2">
        <f>$E133*AJ133</f>
        <v>60.516883116883037</v>
      </c>
      <c r="L133" s="2">
        <f>$E133*AK133</f>
        <v>63.999999999999915</v>
      </c>
      <c r="M133" s="2">
        <f>$E133*(AB133/100)</f>
        <v>44.799628943975002</v>
      </c>
      <c r="N133" s="2">
        <f>$E133*AL133</f>
        <v>2.3910946196660268</v>
      </c>
      <c r="O133" s="2">
        <f>$E133*(AA133/100)</f>
        <v>130.89981445500001</v>
      </c>
      <c r="P133" s="2">
        <f>$E133*AM133</f>
        <v>4.911177644710544</v>
      </c>
      <c r="Q133" s="2">
        <f>$E133*AN133</f>
        <v>2.5999999999999854</v>
      </c>
      <c r="R133" s="2">
        <f>$E133*AQ133</f>
        <v>1.0167664670658503</v>
      </c>
      <c r="S133" s="2">
        <f>$E133*AO133</f>
        <v>9.9554730983301951</v>
      </c>
      <c r="T133" s="2">
        <f>$E133*AP133</f>
        <v>1.9910946196660133</v>
      </c>
      <c r="U133" s="2">
        <f>S133-T133</f>
        <v>7.964378478664182</v>
      </c>
      <c r="V133" s="1">
        <f>F133/D133</f>
        <v>0.247291260555665</v>
      </c>
      <c r="W133" s="1">
        <f>(F133+M133+N133+P133)/(D133+M133+N133+Q133)</f>
        <v>0.32508589810640359</v>
      </c>
      <c r="X133" s="1">
        <f>(G133+H133*2+I133*3+J133*4)/D133</f>
        <v>0.42781179801239372</v>
      </c>
      <c r="Y133" s="1">
        <f>W133+X133</f>
        <v>0.75289769611879731</v>
      </c>
      <c r="Z133">
        <v>0.30360823219999999</v>
      </c>
      <c r="AA133">
        <v>25.417439699999999</v>
      </c>
      <c r="AB133">
        <v>8.6989570764999993</v>
      </c>
      <c r="AD133" s="2">
        <f>(D133-O133-J133+Q133)*Z133</f>
        <v>95.567556422836418</v>
      </c>
      <c r="AE133">
        <v>0.22456422300000001</v>
      </c>
      <c r="AF133">
        <v>0.74690721649484504</v>
      </c>
      <c r="AG133">
        <v>0.23958333333333301</v>
      </c>
      <c r="AH133">
        <v>2.0704467353951799E-2</v>
      </c>
      <c r="AI133">
        <v>3.6116504854368903E-2</v>
      </c>
      <c r="AJ133">
        <v>0.117508510906569</v>
      </c>
      <c r="AK133">
        <v>0.124271844660194</v>
      </c>
      <c r="AL133">
        <v>4.6429021741087899E-3</v>
      </c>
      <c r="AM133">
        <v>9.5362672712826103E-3</v>
      </c>
      <c r="AN133">
        <v>5.0485436893203603E-3</v>
      </c>
      <c r="AO133">
        <v>1.9331015724913001E-2</v>
      </c>
      <c r="AP133">
        <v>3.8662031449825502E-3</v>
      </c>
      <c r="AQ133">
        <v>1.9743038195453402E-3</v>
      </c>
    </row>
    <row r="134" spans="1:43" x14ac:dyDescent="0.4">
      <c r="A134" t="s">
        <v>162</v>
      </c>
      <c r="B134" t="s">
        <v>165</v>
      </c>
      <c r="C134" s="4">
        <f>K134*1.9+G134*2.6+H134*5.2+I134*7.8+J134*10.4+L134*1.9+S134*4.2+M134*2.6+P134*2.6</f>
        <v>919.0902019001403</v>
      </c>
      <c r="D134" s="2">
        <f>E134-M134-P134-Q134-R134</f>
        <v>457.45445887490632</v>
      </c>
      <c r="E134">
        <v>516</v>
      </c>
      <c r="F134" s="2">
        <f>AD134+J134</f>
        <v>123.19075327125961</v>
      </c>
      <c r="G134" s="2">
        <f>$AD134*AF134</f>
        <v>79.863270930218391</v>
      </c>
      <c r="H134" s="2">
        <f>$AD134*AG134</f>
        <v>23.489197332417159</v>
      </c>
      <c r="I134" s="2">
        <f>$AD134*AH134</f>
        <v>1.6262500182112327</v>
      </c>
      <c r="J134" s="2">
        <f>$E134*AI134</f>
        <v>17.999999999999972</v>
      </c>
      <c r="K134" s="2">
        <f>$E134*AJ134</f>
        <v>66.111428571428121</v>
      </c>
      <c r="L134" s="2">
        <f>$E134*AK134</f>
        <v>63.999999999999488</v>
      </c>
      <c r="M134" s="2">
        <f>$E134*(AB134/100)</f>
        <v>50.528571428123996</v>
      </c>
      <c r="N134" s="2">
        <f>$E134*AL134</f>
        <v>2.6685714285713895</v>
      </c>
      <c r="O134" s="2">
        <f>$E134*(AA134/100)</f>
        <v>100.43571426359999</v>
      </c>
      <c r="P134" s="2">
        <f>$E134*AM134</f>
        <v>4.0169696969696815</v>
      </c>
      <c r="Q134" s="2">
        <f>$E134*AN134</f>
        <v>3.9999999999999876</v>
      </c>
      <c r="R134" s="2">
        <f>$E134*AQ134</f>
        <v>0</v>
      </c>
      <c r="S134" s="2">
        <f>$E134*AO134</f>
        <v>9.2142857142852724E-2</v>
      </c>
      <c r="T134" s="2">
        <f>$E134*AP134</f>
        <v>0</v>
      </c>
      <c r="U134" s="2">
        <f>S134-T134</f>
        <v>9.2142857142852724E-2</v>
      </c>
      <c r="V134" s="1">
        <f>F134/D134</f>
        <v>0.26929621272955362</v>
      </c>
      <c r="W134" s="1">
        <f>(F134+M134+N134+P134)/(D134+M134+N134+Q134)</f>
        <v>0.35053784971800878</v>
      </c>
      <c r="X134" s="1">
        <f>(G134+H134*2+I134*3+J134*4)/D134</f>
        <v>0.4453348561750381</v>
      </c>
      <c r="Y134" s="1">
        <f>W134+X134</f>
        <v>0.79587270589304682</v>
      </c>
      <c r="Z134">
        <v>0.30666182219999999</v>
      </c>
      <c r="AA134">
        <v>19.464285709999999</v>
      </c>
      <c r="AB134">
        <v>9.7923588038999991</v>
      </c>
      <c r="AD134" s="2">
        <f>(D134-O134-J134+Q134)*Z134</f>
        <v>105.19075327125964</v>
      </c>
      <c r="AE134">
        <v>0.23405409299999999</v>
      </c>
      <c r="AF134">
        <v>0.75922330097087298</v>
      </c>
      <c r="AG134">
        <v>0.223300970873786</v>
      </c>
      <c r="AH134">
        <v>1.5460009246416899E-2</v>
      </c>
      <c r="AI134">
        <v>3.4883720930232502E-2</v>
      </c>
      <c r="AJ134">
        <v>0.12812292358803901</v>
      </c>
      <c r="AK134">
        <v>0.124031007751937</v>
      </c>
      <c r="AL134">
        <v>5.17165005537091E-3</v>
      </c>
      <c r="AM134">
        <v>7.7848249941272901E-3</v>
      </c>
      <c r="AN134">
        <v>7.7519379844960996E-3</v>
      </c>
      <c r="AO134">
        <v>1.7857142857142001E-4</v>
      </c>
      <c r="AP134">
        <v>0</v>
      </c>
      <c r="AQ134">
        <v>0</v>
      </c>
    </row>
    <row r="135" spans="1:43" x14ac:dyDescent="0.4">
      <c r="A135" t="s">
        <v>162</v>
      </c>
      <c r="B135" t="s">
        <v>171</v>
      </c>
      <c r="C135" s="4">
        <f>K135*1.9+G135*2.6+H135*5.2+I135*7.8+J135*10.4+L135*1.9+S135*4.2+M135*2.6+P135*2.6</f>
        <v>917.93364554180403</v>
      </c>
      <c r="D135" s="2">
        <f>E135-M135-P135-Q135-R135</f>
        <v>488.44410130148293</v>
      </c>
      <c r="E135">
        <v>547</v>
      </c>
      <c r="F135" s="2">
        <f>AD135+J135</f>
        <v>118.87880311531876</v>
      </c>
      <c r="G135" s="2">
        <f>$AD135*AF135</f>
        <v>81.265731230564938</v>
      </c>
      <c r="H135" s="2">
        <f>$AD135*AG135</f>
        <v>22.098445500345917</v>
      </c>
      <c r="I135" s="2">
        <f>$AD135*AH135</f>
        <v>3.9806964116784695</v>
      </c>
      <c r="J135" s="2">
        <f>$E135*AI135</f>
        <v>11.399999999999975</v>
      </c>
      <c r="K135" s="2">
        <f>$E135*AJ135</f>
        <v>69.374384236453068</v>
      </c>
      <c r="L135" s="2">
        <f>$E135*AK135</f>
        <v>50.999999999999979</v>
      </c>
      <c r="M135" s="2">
        <f>$E135*(AB135/100)</f>
        <v>40.852052544670997</v>
      </c>
      <c r="N135" s="2">
        <f>$E135*AL135</f>
        <v>0.8999999999999746</v>
      </c>
      <c r="O135" s="2">
        <f>$E135*(AA135/100)</f>
        <v>128.44170769259998</v>
      </c>
      <c r="P135" s="2">
        <f>$E135*AM135</f>
        <v>12.30274725274724</v>
      </c>
      <c r="Q135" s="2">
        <f>$E135*AN135</f>
        <v>3.9999999999999964</v>
      </c>
      <c r="R135" s="2">
        <f>$E135*AQ135</f>
        <v>1.4010989010988899</v>
      </c>
      <c r="S135" s="2">
        <f>$E135*AO135</f>
        <v>17.906568144499161</v>
      </c>
      <c r="T135" s="2">
        <f>$E135*AP135</f>
        <v>5.9389162561575883</v>
      </c>
      <c r="U135" s="2">
        <f>S135-T135</f>
        <v>11.967651888341573</v>
      </c>
      <c r="V135" s="1">
        <f>F135/D135</f>
        <v>0.24338261594020777</v>
      </c>
      <c r="W135" s="1">
        <f>(F135+M135+N135+P135)/(D135+M135+N135+Q135)</f>
        <v>0.32372678400552668</v>
      </c>
      <c r="X135" s="1">
        <f>(G135+H135*2+I135*3+J135*4)/D135</f>
        <v>0.37466868978183415</v>
      </c>
      <c r="Y135" s="1">
        <f>W135+X135</f>
        <v>0.69839547378736078</v>
      </c>
      <c r="Z135">
        <v>0.30481586360000001</v>
      </c>
      <c r="AA135">
        <v>23.481116579999998</v>
      </c>
      <c r="AB135">
        <v>7.4683825493000002</v>
      </c>
      <c r="AD135" s="2">
        <f>(D135-O135-J135+Q135)*Z135</f>
        <v>107.47880311531878</v>
      </c>
      <c r="AE135">
        <v>0.21833306199999999</v>
      </c>
      <c r="AF135">
        <v>0.756109380408445</v>
      </c>
      <c r="AG135">
        <v>0.20560747663551401</v>
      </c>
      <c r="AH135">
        <v>3.7037037037037E-2</v>
      </c>
      <c r="AI135">
        <v>2.0840950639853702E-2</v>
      </c>
      <c r="AJ135">
        <v>0.126827027854576</v>
      </c>
      <c r="AK135">
        <v>9.3235831809871994E-2</v>
      </c>
      <c r="AL135">
        <v>1.6453382084094599E-3</v>
      </c>
      <c r="AM135">
        <v>2.24913112481668E-2</v>
      </c>
      <c r="AN135">
        <v>7.3126142595978001E-3</v>
      </c>
      <c r="AO135">
        <v>3.2735956388481098E-2</v>
      </c>
      <c r="AP135">
        <v>1.08572509253338E-2</v>
      </c>
      <c r="AQ135">
        <v>2.5614239508206398E-3</v>
      </c>
    </row>
    <row r="136" spans="1:43" x14ac:dyDescent="0.4">
      <c r="A136" t="s">
        <v>49</v>
      </c>
      <c r="B136" t="s">
        <v>60</v>
      </c>
      <c r="C136" s="4">
        <f>K136*1.9+G136*2.6+H136*5.2+I136*7.8+J136*10.4+L136*1.9+S136*4.2+M136*2.6+P136*2.6</f>
        <v>915.10950963683888</v>
      </c>
      <c r="D136" s="2">
        <f>E136-M136-P136-Q136-R136</f>
        <v>423.09251595040837</v>
      </c>
      <c r="E136">
        <v>482</v>
      </c>
      <c r="F136" s="2">
        <f>AD136+J136</f>
        <v>98.356934355619217</v>
      </c>
      <c r="G136" s="2">
        <f>$AD136*AF136</f>
        <v>55.463703094587061</v>
      </c>
      <c r="H136" s="2">
        <f>$AD136*AG136</f>
        <v>17.989524572988458</v>
      </c>
      <c r="I136" s="2">
        <f>$AD136*AH136</f>
        <v>0.99142268757802365</v>
      </c>
      <c r="J136" s="2">
        <f>$E136*AI136</f>
        <v>24.399999999999928</v>
      </c>
      <c r="K136" s="2">
        <f>$E136*AJ136</f>
        <v>65.091596638655247</v>
      </c>
      <c r="L136" s="2">
        <f>$E136*AK136</f>
        <v>63.999999999999588</v>
      </c>
      <c r="M136" s="2">
        <f>$E136*(AB136/100)</f>
        <v>48.960504183819999</v>
      </c>
      <c r="N136" s="2">
        <f>$E136*AL136</f>
        <v>2.0025210084033147</v>
      </c>
      <c r="O136" s="2">
        <f>$E136*(AA136/100)</f>
        <v>147.8403361462</v>
      </c>
      <c r="P136" s="2">
        <f>$E136*AM136</f>
        <v>6.9469798657717314</v>
      </c>
      <c r="Q136" s="2">
        <f>$E136*AN136</f>
        <v>2.9999999999999547</v>
      </c>
      <c r="R136" s="2">
        <f>$E136*AQ136</f>
        <v>0</v>
      </c>
      <c r="S136" s="2">
        <f>$E136*AO136</f>
        <v>6.0075630252100067</v>
      </c>
      <c r="T136" s="2">
        <f>$E136*AP136</f>
        <v>1.9012605042016364</v>
      </c>
      <c r="U136" s="2">
        <f>S136-T136</f>
        <v>4.1063025210083701</v>
      </c>
      <c r="V136" s="1">
        <f>F136/D136</f>
        <v>0.23247145871790334</v>
      </c>
      <c r="W136" s="1">
        <f>(F136+M136+N136+P136)/(D136+M136+N136+Q136)</f>
        <v>0.32756550534834489</v>
      </c>
      <c r="X136" s="1">
        <f>(G136+H136*2+I136*3+J136*4)/D136</f>
        <v>0.45384168489003596</v>
      </c>
      <c r="Y136" s="1">
        <f>W136+X136</f>
        <v>0.78140719023838079</v>
      </c>
      <c r="Z136">
        <v>0.29133858299999998</v>
      </c>
      <c r="AA136">
        <v>30.67226891</v>
      </c>
      <c r="AB136">
        <v>10.157780950999999</v>
      </c>
      <c r="AD136" s="2">
        <f>(D136-O136-J136+Q136)*Z136</f>
        <v>73.956934355619282</v>
      </c>
      <c r="AE136">
        <v>0.20470239800000001</v>
      </c>
      <c r="AF136">
        <v>0.74994594594594499</v>
      </c>
      <c r="AG136">
        <v>0.24324324324324301</v>
      </c>
      <c r="AH136">
        <v>1.34054054054053E-2</v>
      </c>
      <c r="AI136">
        <v>5.0622406639003997E-2</v>
      </c>
      <c r="AJ136">
        <v>0.13504480630426399</v>
      </c>
      <c r="AK136">
        <v>0.13278008298755101</v>
      </c>
      <c r="AL136">
        <v>4.1546079012516899E-3</v>
      </c>
      <c r="AM136">
        <v>1.44128212982816E-2</v>
      </c>
      <c r="AN136">
        <v>6.2240663900413997E-3</v>
      </c>
      <c r="AO136">
        <v>1.2463823703755201E-2</v>
      </c>
      <c r="AP136">
        <v>3.9445238676382496E-3</v>
      </c>
      <c r="AQ136">
        <v>0</v>
      </c>
    </row>
    <row r="137" spans="1:43" x14ac:dyDescent="0.4">
      <c r="A137" t="s">
        <v>239</v>
      </c>
      <c r="B137" t="s">
        <v>240</v>
      </c>
      <c r="C137" s="4">
        <f>K137*1.9+G137*2.6+H137*5.2+I137*7.8+J137*10.4+L137*1.9+S137*4.2+M137*2.6+P137*2.6</f>
        <v>913.30586049049998</v>
      </c>
      <c r="D137" s="2">
        <f>E137-M137-P137-Q137-R137</f>
        <v>427.10635024459526</v>
      </c>
      <c r="E137">
        <v>483</v>
      </c>
      <c r="F137" s="2">
        <f>AD137+J137</f>
        <v>102.80739307373504</v>
      </c>
      <c r="G137" s="2">
        <f>$AD137*AF137</f>
        <v>57.724636370556532</v>
      </c>
      <c r="H137" s="2">
        <f>$AD137*AG137</f>
        <v>22.056328982989694</v>
      </c>
      <c r="I137" s="2">
        <f>$AD137*AH137</f>
        <v>2.035578348027359</v>
      </c>
      <c r="J137" s="2">
        <f>$E137*AI137</f>
        <v>21.59999999999998</v>
      </c>
      <c r="K137" s="2">
        <f>$E137*AJ137</f>
        <v>63.221052631578551</v>
      </c>
      <c r="L137" s="2">
        <f>$E137*AK137</f>
        <v>65.999999999999886</v>
      </c>
      <c r="M137" s="2">
        <f>$E137*(AB137/100)</f>
        <v>46.839473683169999</v>
      </c>
      <c r="N137" s="2">
        <f>$E137*AL137</f>
        <v>0.99078947368421</v>
      </c>
      <c r="O137" s="2">
        <f>$E137*(AA137/100)</f>
        <v>124.38157895100001</v>
      </c>
      <c r="P137" s="2">
        <f>$E137*AM137</f>
        <v>6.0541760722347346</v>
      </c>
      <c r="Q137" s="2">
        <f>$E137*AN137</f>
        <v>2.9999999999999991</v>
      </c>
      <c r="R137" s="2">
        <f>$E137*AQ137</f>
        <v>0</v>
      </c>
      <c r="S137" s="2">
        <f>$E137*AO137</f>
        <v>5.9447368421052316</v>
      </c>
      <c r="T137" s="2">
        <f>$E137*AP137</f>
        <v>0.99078947368421</v>
      </c>
      <c r="U137" s="2">
        <f>S137-T137</f>
        <v>4.9539473684210211</v>
      </c>
      <c r="V137" s="1">
        <f>F137/D137</f>
        <v>0.24070677716418709</v>
      </c>
      <c r="W137" s="1">
        <f>(F137+M137+N137+P137)/(D137+M137+N137+Q137)</f>
        <v>0.32785065615219666</v>
      </c>
      <c r="X137" s="1">
        <f>(G137+H137*2+I137*3+J137*4)/D137</f>
        <v>0.45502491187340338</v>
      </c>
      <c r="Y137" s="1">
        <f>W137+X137</f>
        <v>0.7828755680256001</v>
      </c>
      <c r="Z137">
        <v>0.28581595579999902</v>
      </c>
      <c r="AA137">
        <v>25.7518797</v>
      </c>
      <c r="AB137">
        <v>9.6976135990000003</v>
      </c>
      <c r="AD137" s="2">
        <f>(D137-O137-J137+Q137)*Z137</f>
        <v>81.207393073735062</v>
      </c>
      <c r="AE137">
        <v>0.20809202800000001</v>
      </c>
      <c r="AF137">
        <v>0.71082981715893101</v>
      </c>
      <c r="AG137">
        <v>0.27160493827160398</v>
      </c>
      <c r="AH137">
        <v>2.5066416627597999E-2</v>
      </c>
      <c r="AI137">
        <v>4.4720496894409899E-2</v>
      </c>
      <c r="AJ137">
        <v>0.130892448512585</v>
      </c>
      <c r="AK137">
        <v>0.13664596273291901</v>
      </c>
      <c r="AL137">
        <v>2.0513239620791098E-3</v>
      </c>
      <c r="AM137">
        <v>1.2534526029471501E-2</v>
      </c>
      <c r="AN137">
        <v>6.2111801242236003E-3</v>
      </c>
      <c r="AO137">
        <v>1.23079437724746E-2</v>
      </c>
      <c r="AP137">
        <v>2.0513239620791098E-3</v>
      </c>
      <c r="AQ137">
        <v>0</v>
      </c>
    </row>
    <row r="138" spans="1:43" x14ac:dyDescent="0.4">
      <c r="A138" t="s">
        <v>31</v>
      </c>
      <c r="B138" t="s">
        <v>36</v>
      </c>
      <c r="C138" s="4">
        <f>K138*1.9+G138*2.6+H138*5.2+I138*7.8+J138*10.4+L138*1.9+S138*4.2+M138*2.6+P138*2.6</f>
        <v>913.12537419469083</v>
      </c>
      <c r="D138" s="2">
        <f>E138-M138-P138-Q138-R138</f>
        <v>453.86268606530274</v>
      </c>
      <c r="E138">
        <v>500</v>
      </c>
      <c r="F138" s="2">
        <f>AD138+J138</f>
        <v>104.23431859517027</v>
      </c>
      <c r="G138" s="2">
        <f>$AD138*AF138</f>
        <v>56.460011741409538</v>
      </c>
      <c r="H138" s="2">
        <f>$AD138*AG138</f>
        <v>21.063085775622746</v>
      </c>
      <c r="I138" s="2">
        <f>$AD138*AH138</f>
        <v>2.0216394015934664</v>
      </c>
      <c r="J138" s="2">
        <f>$E138*AI138</f>
        <v>26</v>
      </c>
      <c r="K138" s="2">
        <f>$E138*AJ138</f>
        <v>60.566007905137994</v>
      </c>
      <c r="L138" s="2">
        <f>$E138*AK138</f>
        <v>70</v>
      </c>
      <c r="M138" s="2">
        <f>$E138*(AB138/100)</f>
        <v>37.153754940500001</v>
      </c>
      <c r="N138" s="2">
        <f>$E138*AL138</f>
        <v>1.09762845849802</v>
      </c>
      <c r="O138" s="2">
        <f>$E138*(AA138/100)</f>
        <v>135.37549404999999</v>
      </c>
      <c r="P138" s="2">
        <f>$E138*AM138</f>
        <v>4.9835589941972902</v>
      </c>
      <c r="Q138" s="2">
        <f>$E138*AN138</f>
        <v>4</v>
      </c>
      <c r="R138" s="2">
        <f>$E138*AQ138</f>
        <v>0</v>
      </c>
      <c r="S138" s="2">
        <f>$E138*AO138</f>
        <v>3.0952569169960449</v>
      </c>
      <c r="T138" s="2">
        <f>$E138*AP138</f>
        <v>1.09762845849802</v>
      </c>
      <c r="U138" s="2">
        <f>S138-T138</f>
        <v>1.9976284584980248</v>
      </c>
      <c r="V138" s="1">
        <f>F138/D138</f>
        <v>0.22966047175813173</v>
      </c>
      <c r="W138" s="1">
        <f>(F138+M138+N138+P138)/(D138+M138+N138+Q138)</f>
        <v>0.29724869755780453</v>
      </c>
      <c r="X138" s="1">
        <f>(G138+H138*2+I138*3+J138*4)/D138</f>
        <v>0.45972296887040032</v>
      </c>
      <c r="Y138" s="1">
        <f>W138+X138</f>
        <v>0.7569716664282049</v>
      </c>
      <c r="Z138">
        <v>0.26387082039999998</v>
      </c>
      <c r="AA138">
        <v>27.07509881</v>
      </c>
      <c r="AB138">
        <v>7.4307509880999998</v>
      </c>
      <c r="AD138" s="2">
        <f>(D138-O138-J138+Q138)*Z138</f>
        <v>78.234318595170265</v>
      </c>
      <c r="AE138">
        <v>0.20737773500000001</v>
      </c>
      <c r="AF138">
        <v>0.72167832167832102</v>
      </c>
      <c r="AG138">
        <v>0.269230769230769</v>
      </c>
      <c r="AH138">
        <v>2.5840825840825699E-2</v>
      </c>
      <c r="AI138">
        <v>5.1999999999999998E-2</v>
      </c>
      <c r="AJ138">
        <v>0.12113201581027599</v>
      </c>
      <c r="AK138">
        <v>0.14000000000000001</v>
      </c>
      <c r="AL138">
        <v>2.1952569169960399E-3</v>
      </c>
      <c r="AM138">
        <v>9.9671179883945808E-3</v>
      </c>
      <c r="AN138">
        <v>8.0000000000000002E-3</v>
      </c>
      <c r="AO138">
        <v>6.1905138339920897E-3</v>
      </c>
      <c r="AP138">
        <v>2.1952569169960399E-3</v>
      </c>
      <c r="AQ138">
        <v>0</v>
      </c>
    </row>
    <row r="139" spans="1:43" x14ac:dyDescent="0.4">
      <c r="A139" t="s">
        <v>162</v>
      </c>
      <c r="B139" t="s">
        <v>168</v>
      </c>
      <c r="C139" s="4">
        <f>K139*1.9+G139*2.6+H139*5.2+I139*7.8+J139*10.4+L139*1.9+S139*4.2+M139*2.6+P139*2.6</f>
        <v>912.16071046758736</v>
      </c>
      <c r="D139" s="2">
        <f>E139-M139-P139-Q139-R139</f>
        <v>454.83679769313903</v>
      </c>
      <c r="E139">
        <v>501</v>
      </c>
      <c r="F139" s="2">
        <f>AD139+J139</f>
        <v>112.86847295968067</v>
      </c>
      <c r="G139" s="2">
        <f>$AD139*AF139</f>
        <v>66.772786058065762</v>
      </c>
      <c r="H139" s="2">
        <f>$AD139*AG139</f>
        <v>22.522310516910267</v>
      </c>
      <c r="I139" s="2">
        <f>$AD139*AH139</f>
        <v>0.99214382687965119</v>
      </c>
      <c r="J139" s="2">
        <f>$E139*AI139</f>
        <v>21.799999999999947</v>
      </c>
      <c r="K139" s="2">
        <f>$E139*AJ139</f>
        <v>63.677003484320437</v>
      </c>
      <c r="L139" s="2">
        <f>$E139*AK139</f>
        <v>70.999999999999758</v>
      </c>
      <c r="M139" s="2">
        <f>$E139*(AB139/100)</f>
        <v>38.302264806861004</v>
      </c>
      <c r="N139" s="2">
        <f>$E139*AL139</f>
        <v>1.0745644599302928</v>
      </c>
      <c r="O139" s="2">
        <f>$E139*(AA139/100)</f>
        <v>119.57665505819999</v>
      </c>
      <c r="P139" s="2">
        <f>$E139*AM139</f>
        <v>3.8609374999999782</v>
      </c>
      <c r="Q139" s="2">
        <f>$E139*AN139</f>
        <v>3.9999999999999778</v>
      </c>
      <c r="R139" s="2">
        <f>$E139*AQ139</f>
        <v>0</v>
      </c>
      <c r="S139" s="2">
        <f>$E139*AO139</f>
        <v>5.1109756097560153</v>
      </c>
      <c r="T139" s="2">
        <f>$E139*AP139</f>
        <v>1.9745644599302767</v>
      </c>
      <c r="U139" s="2">
        <f>S139-T139</f>
        <v>3.1364111498257383</v>
      </c>
      <c r="V139" s="1">
        <f>F139/D139</f>
        <v>0.248151586529788</v>
      </c>
      <c r="W139" s="1">
        <f>(F139+M139+N139+P139)/(D139+M139+N139+Q139)</f>
        <v>0.3133319348951229</v>
      </c>
      <c r="X139" s="1">
        <f>(G139+H139*2+I139*3+J139*4)/D139</f>
        <v>0.44410179562648872</v>
      </c>
      <c r="Y139" s="1">
        <f>W139+X139</f>
        <v>0.75743373052161167</v>
      </c>
      <c r="Z139">
        <v>0.28686584780000002</v>
      </c>
      <c r="AA139">
        <v>23.867595819999998</v>
      </c>
      <c r="AB139">
        <v>7.6451626361000002</v>
      </c>
      <c r="AD139" s="2">
        <f>(D139-O139-J139+Q139)*Z139</f>
        <v>91.068472959680733</v>
      </c>
      <c r="AE139">
        <v>0.227793527</v>
      </c>
      <c r="AF139">
        <v>0.73321517192484897</v>
      </c>
      <c r="AG139">
        <v>0.247311827956989</v>
      </c>
      <c r="AH139">
        <v>1.08944818622237E-2</v>
      </c>
      <c r="AI139">
        <v>4.3512974051896101E-2</v>
      </c>
      <c r="AJ139">
        <v>0.127099807353933</v>
      </c>
      <c r="AK139">
        <v>0.14171656686626699</v>
      </c>
      <c r="AL139">
        <v>2.14483924137783E-3</v>
      </c>
      <c r="AM139">
        <v>7.7064620758482598E-3</v>
      </c>
      <c r="AN139">
        <v>7.9840319361277005E-3</v>
      </c>
      <c r="AO139">
        <v>1.02015481232655E-2</v>
      </c>
      <c r="AP139">
        <v>3.9412464270065402E-3</v>
      </c>
      <c r="AQ139">
        <v>0</v>
      </c>
    </row>
    <row r="140" spans="1:43" x14ac:dyDescent="0.4">
      <c r="A140" t="s">
        <v>267</v>
      </c>
      <c r="B140" t="s">
        <v>271</v>
      </c>
      <c r="C140" s="4">
        <f>K140*1.9+G140*2.6+H140*5.2+I140*7.8+J140*10.4+L140*1.9+S140*4.2+M140*2.6+P140*2.6</f>
        <v>911.52174045334584</v>
      </c>
      <c r="D140" s="2">
        <f>E140-M140-P140-Q140-R140</f>
        <v>494.07144060945319</v>
      </c>
      <c r="E140">
        <v>555</v>
      </c>
      <c r="F140" s="2">
        <f>AD140+J140</f>
        <v>121.02287550664943</v>
      </c>
      <c r="G140" s="2">
        <f>$AD140*AF140</f>
        <v>80.040552110078053</v>
      </c>
      <c r="H140" s="2">
        <f>$AD140*AG140</f>
        <v>22.177482952414497</v>
      </c>
      <c r="I140" s="2">
        <f>$AD140*AH140</f>
        <v>1.008067406927931</v>
      </c>
      <c r="J140" s="2">
        <f>$E140*AI140</f>
        <v>18.19999999999995</v>
      </c>
      <c r="K140" s="2">
        <f>$E140*AJ140</f>
        <v>59.481583476764186</v>
      </c>
      <c r="L140" s="2">
        <f>$E140*AK140</f>
        <v>66.999999999999602</v>
      </c>
      <c r="M140" s="2">
        <f>$E140*(AB140/100)</f>
        <v>52.340447502434948</v>
      </c>
      <c r="N140" s="2">
        <f>$E140*AL140</f>
        <v>1.5910499139414742</v>
      </c>
      <c r="O140" s="2">
        <f>$E140*(AA140/100)</f>
        <v>108.8984509305</v>
      </c>
      <c r="P140" s="2">
        <f>$E140*AM140</f>
        <v>3.9881118881118796</v>
      </c>
      <c r="Q140" s="2">
        <f>$E140*AN140</f>
        <v>4.5999999999999952</v>
      </c>
      <c r="R140" s="2">
        <f>$E140*AQ140</f>
        <v>0</v>
      </c>
      <c r="S140" s="2">
        <f>$E140*AO140</f>
        <v>0.99552495697073418</v>
      </c>
      <c r="T140" s="2">
        <f>$E140*AP140</f>
        <v>9.5524956970735056E-2</v>
      </c>
      <c r="U140" s="2">
        <f>S140-T140</f>
        <v>0.89999999999999913</v>
      </c>
      <c r="V140" s="1">
        <f>F140/D140</f>
        <v>0.24495015408574067</v>
      </c>
      <c r="W140" s="1">
        <f>(F140+M140+N140+P140)/(D140+M140+N140+Q140)</f>
        <v>0.32381746910432396</v>
      </c>
      <c r="X140" s="1">
        <f>(G140+H140*2+I140*3+J140*4)/D140</f>
        <v>0.40524447231500188</v>
      </c>
      <c r="Y140" s="1">
        <f>W140+X140</f>
        <v>0.72906194141932579</v>
      </c>
      <c r="Z140">
        <v>0.27672322360000001</v>
      </c>
      <c r="AA140">
        <v>19.621342510000002</v>
      </c>
      <c r="AB140">
        <v>9.4307112616999902</v>
      </c>
      <c r="AD140" s="2">
        <f>(D140-O140-J140+Q140)*Z140</f>
        <v>102.82287550664948</v>
      </c>
      <c r="AE140">
        <v>0.21819185899999999</v>
      </c>
      <c r="AF140">
        <v>0.77843137254901895</v>
      </c>
      <c r="AG140">
        <v>0.21568627450980299</v>
      </c>
      <c r="AH140">
        <v>9.8039215686274005E-3</v>
      </c>
      <c r="AI140">
        <v>3.2792792792792701E-2</v>
      </c>
      <c r="AJ140">
        <v>0.10717402428245799</v>
      </c>
      <c r="AK140">
        <v>0.12072072072072</v>
      </c>
      <c r="AL140">
        <v>2.8667566016963501E-3</v>
      </c>
      <c r="AM140">
        <v>7.1857871857871703E-3</v>
      </c>
      <c r="AN140">
        <v>8.28828828828828E-3</v>
      </c>
      <c r="AO140">
        <v>1.79373866120853E-3</v>
      </c>
      <c r="AP140">
        <v>1.7211703958691001E-4</v>
      </c>
      <c r="AQ140">
        <v>0</v>
      </c>
    </row>
    <row r="141" spans="1:43" x14ac:dyDescent="0.4">
      <c r="A141" t="s">
        <v>20</v>
      </c>
      <c r="B141" t="s">
        <v>25</v>
      </c>
      <c r="C141" s="4">
        <f>K141*1.9+G141*2.6+H141*5.2+I141*7.8+J141*10.4+L141*1.9+S141*4.2+M141*2.6+P141*2.6</f>
        <v>908.7176779570359</v>
      </c>
      <c r="D141" s="2">
        <f>E141-M141-P141-Q141-R141</f>
        <v>466.52635077675416</v>
      </c>
      <c r="E141">
        <v>517</v>
      </c>
      <c r="F141" s="2">
        <f>AD141+J141</f>
        <v>121.65910311571344</v>
      </c>
      <c r="G141" s="2">
        <f>$AD141*AF141</f>
        <v>88.490593862671574</v>
      </c>
      <c r="H141" s="2">
        <f>$AD141*AG141</f>
        <v>20.90122752547801</v>
      </c>
      <c r="I141" s="2">
        <f>$AD141*AH141</f>
        <v>5.6403228270342227</v>
      </c>
      <c r="J141" s="2">
        <f>$E141*AI141</f>
        <v>7.1999999999999424</v>
      </c>
      <c r="K141" s="2">
        <f>$E141*AJ141</f>
        <v>65.432967032966815</v>
      </c>
      <c r="L141" s="2">
        <f>$E141*AK141</f>
        <v>50.999999999999957</v>
      </c>
      <c r="M141" s="2">
        <f>$E141*(AB141/100)</f>
        <v>35.192857144037994</v>
      </c>
      <c r="N141" s="2">
        <f>$E141*AL141</f>
        <v>0.89999999999996827</v>
      </c>
      <c r="O141" s="2">
        <f>$E141*(AA141/100)</f>
        <v>92.794871801499994</v>
      </c>
      <c r="P141" s="2">
        <f>$E141*AM141</f>
        <v>8.2237623762375769</v>
      </c>
      <c r="Q141" s="2">
        <f>$E141*AN141</f>
        <v>2.9999999999999973</v>
      </c>
      <c r="R141" s="2">
        <f>$E141*AQ141</f>
        <v>4.0570297029702749</v>
      </c>
      <c r="S141" s="2">
        <f>$E141*AO141</f>
        <v>27.851282051282016</v>
      </c>
      <c r="T141" s="2">
        <f>$E141*AP141</f>
        <v>6.0628205128204655</v>
      </c>
      <c r="U141" s="2">
        <f>S141-T141</f>
        <v>21.788461538461551</v>
      </c>
      <c r="V141" s="1">
        <f>F141/D141</f>
        <v>0.26077648757279032</v>
      </c>
      <c r="W141" s="1">
        <f>(F141+M141+N141+P141)/(D141+M141+N141+Q141)</f>
        <v>0.32826229707236504</v>
      </c>
      <c r="X141" s="1">
        <f>(G141+H141*2+I141*3+J141*4)/D141</f>
        <v>0.37728633570573522</v>
      </c>
      <c r="Y141" s="1">
        <f>W141+X141</f>
        <v>0.7055486327781002</v>
      </c>
      <c r="Z141">
        <v>0.30974114419999998</v>
      </c>
      <c r="AA141">
        <v>17.948717949999999</v>
      </c>
      <c r="AB141">
        <v>6.8071290413999996</v>
      </c>
      <c r="AD141" s="2">
        <f>(D141-O141-J141+Q141)*Z141</f>
        <v>114.45910311571349</v>
      </c>
      <c r="AE141">
        <v>0.23652640799999999</v>
      </c>
      <c r="AF141">
        <v>0.77311975591151705</v>
      </c>
      <c r="AG141">
        <v>0.182608695652173</v>
      </c>
      <c r="AH141">
        <v>4.9278062412668799E-2</v>
      </c>
      <c r="AI141">
        <v>1.39264990328819E-2</v>
      </c>
      <c r="AJ141">
        <v>0.126562798903224</v>
      </c>
      <c r="AK141">
        <v>9.8646034816247494E-2</v>
      </c>
      <c r="AL141">
        <v>1.7408123791101901E-3</v>
      </c>
      <c r="AM141">
        <v>1.59066970526839E-2</v>
      </c>
      <c r="AN141">
        <v>5.8027079303674999E-3</v>
      </c>
      <c r="AO141">
        <v>5.3870951743292102E-2</v>
      </c>
      <c r="AP141">
        <v>1.1726925556712699E-2</v>
      </c>
      <c r="AQ141">
        <v>7.8472528103873795E-3</v>
      </c>
    </row>
    <row r="142" spans="1:43" x14ac:dyDescent="0.4">
      <c r="A142" t="s">
        <v>107</v>
      </c>
      <c r="B142" s="3" t="s">
        <v>111</v>
      </c>
      <c r="C142" s="4">
        <f>K142*1.9+G142*2.6+H142*5.2+I142*7.8+J142*10.4+L142*1.9+S142*4.2+M142*2.6+P142*2.6</f>
        <v>906.94940264905961</v>
      </c>
      <c r="D142" s="2">
        <f>E142-M142-P142-Q142-R142</f>
        <v>430.65926578017707</v>
      </c>
      <c r="E142">
        <v>478</v>
      </c>
      <c r="F142" s="2">
        <f>AD142+J142</f>
        <v>108.95928930466221</v>
      </c>
      <c r="G142" s="2">
        <f>$AD142*AF142</f>
        <v>62.500222224704885</v>
      </c>
      <c r="H142" s="2">
        <f>$AD142*AG142</f>
        <v>21.750992697730602</v>
      </c>
      <c r="I142" s="2">
        <f>$AD142*AH142</f>
        <v>2.9260528481012509</v>
      </c>
      <c r="J142" s="2">
        <f>$E142*AI142</f>
        <v>22.943999999999999</v>
      </c>
      <c r="K142" s="2">
        <f>$E142*AJ142</f>
        <v>58.223742454728018</v>
      </c>
      <c r="L142" s="2">
        <f>$E142*AK142</f>
        <v>69.999999999999787</v>
      </c>
      <c r="M142" s="2">
        <f>$E142*(AB142/100)</f>
        <v>36.666197182786007</v>
      </c>
      <c r="N142" s="2">
        <f>$E142*AL142</f>
        <v>1.9923541247484686</v>
      </c>
      <c r="O142" s="2">
        <f>$E142*(AA142/100)</f>
        <v>119.2595573482</v>
      </c>
      <c r="P142" s="2">
        <f>$E142*AM142</f>
        <v>7.074537037036988</v>
      </c>
      <c r="Q142" s="2">
        <f>$E142*AN142</f>
        <v>3.5999999999999637</v>
      </c>
      <c r="R142" s="2">
        <f>$E142*AQ142</f>
        <v>0</v>
      </c>
      <c r="S142" s="2">
        <f>$E142*AO142</f>
        <v>2.9885311871227076</v>
      </c>
      <c r="T142" s="2">
        <f>$E142*AP142</f>
        <v>1.9923541247484686</v>
      </c>
      <c r="U142" s="2">
        <f>S142-T142</f>
        <v>0.99617706237423898</v>
      </c>
      <c r="V142" s="1">
        <f>F142/D142</f>
        <v>0.25300579358782144</v>
      </c>
      <c r="W142" s="1">
        <f>(F142+M142+N142+P142)/(D142+M142+N142+Q142)</f>
        <v>0.32710202927402715</v>
      </c>
      <c r="X142" s="1">
        <f>(G142+H142*2+I142*3+J142*4)/D142</f>
        <v>0.47962828755181858</v>
      </c>
      <c r="Y142" s="1">
        <f>W142+X142</f>
        <v>0.80673031682584573</v>
      </c>
      <c r="Z142">
        <v>0.29451672000000001</v>
      </c>
      <c r="AA142">
        <v>24.949698189999999</v>
      </c>
      <c r="AB142">
        <v>7.6707525487000003</v>
      </c>
      <c r="AD142" s="2">
        <f>(D142-O142-J142+Q142)*Z142</f>
        <v>86.015289304662204</v>
      </c>
      <c r="AE142">
        <v>0.231314934</v>
      </c>
      <c r="AF142">
        <v>0.72661759008136295</v>
      </c>
      <c r="AG142">
        <v>0.25287356321839</v>
      </c>
      <c r="AH142">
        <v>3.4017822549399397E-2</v>
      </c>
      <c r="AI142">
        <v>4.8000000000000001E-2</v>
      </c>
      <c r="AJ142">
        <v>0.12180699258311301</v>
      </c>
      <c r="AK142">
        <v>0.14644351464435101</v>
      </c>
      <c r="AL142">
        <v>4.1681048634905201E-3</v>
      </c>
      <c r="AM142">
        <v>1.48002866883619E-2</v>
      </c>
      <c r="AN142">
        <v>7.5313807531379997E-3</v>
      </c>
      <c r="AO142">
        <v>6.2521572952357902E-3</v>
      </c>
      <c r="AP142">
        <v>4.1681048634905201E-3</v>
      </c>
      <c r="AQ142">
        <v>0</v>
      </c>
    </row>
    <row r="143" spans="1:43" x14ac:dyDescent="0.4">
      <c r="A143" t="s">
        <v>122</v>
      </c>
      <c r="B143" t="s">
        <v>125</v>
      </c>
      <c r="C143" s="4">
        <f>K143*1.9+G143*2.6+H143*5.2+I143*7.8+J143*10.4+L143*1.9+S143*4.2+M143*2.6+P143*2.6</f>
        <v>898.10302726722989</v>
      </c>
      <c r="D143" s="2">
        <f>E143-M143-P143-Q143-R143</f>
        <v>487.66243376043627</v>
      </c>
      <c r="E143">
        <v>535</v>
      </c>
      <c r="F143" s="2">
        <f>AD143+J143</f>
        <v>126.5235005080155</v>
      </c>
      <c r="G143" s="2">
        <f>$AD143*AF143</f>
        <v>91.58389865232472</v>
      </c>
      <c r="H143" s="2">
        <f>$AD143*AG143</f>
        <v>24.694938121490701</v>
      </c>
      <c r="I143" s="2">
        <f>$AD143*AH143</f>
        <v>3.0387330637631034</v>
      </c>
      <c r="J143" s="2">
        <f>$E143*AI143</f>
        <v>6.9999999999999947</v>
      </c>
      <c r="K143" s="2">
        <f>$E143*AJ143</f>
        <v>65.383193277310525</v>
      </c>
      <c r="L143" s="2">
        <f>$E143*AK143</f>
        <v>48.999999999999964</v>
      </c>
      <c r="M143" s="2">
        <f>$E143*(AB143/100)</f>
        <v>38.246218485820002</v>
      </c>
      <c r="N143" s="2">
        <f>$E143*AL143</f>
        <v>0</v>
      </c>
      <c r="O143" s="2">
        <f>$E143*(AA143/100)</f>
        <v>94.411764687000016</v>
      </c>
      <c r="P143" s="2">
        <f>$E143*AM143</f>
        <v>1.8890183028285965</v>
      </c>
      <c r="Q143" s="2">
        <f>$E143*AN143</f>
        <v>4.3999999999999515</v>
      </c>
      <c r="R143" s="2">
        <f>$E143*AQ143</f>
        <v>2.80232945091513</v>
      </c>
      <c r="S143" s="2">
        <f>$E143*AO143</f>
        <v>26.997478991596566</v>
      </c>
      <c r="T143" s="2">
        <f>$E143*AP143</f>
        <v>5.9394957983192889</v>
      </c>
      <c r="U143" s="2">
        <f>S143-T143</f>
        <v>21.057983193277277</v>
      </c>
      <c r="V143" s="1">
        <f>F143/D143</f>
        <v>0.25944893793104856</v>
      </c>
      <c r="W143" s="1">
        <f>(F143+M143+N143+P143)/(D143+M143+N143+Q143)</f>
        <v>0.31426743009139851</v>
      </c>
      <c r="X143" s="1">
        <f>(G143+H143*2+I143*3+J143*4)/D143</f>
        <v>0.36519108661562794</v>
      </c>
      <c r="Y143" s="1">
        <f>W143+X143</f>
        <v>0.67945851670702639</v>
      </c>
      <c r="Z143">
        <v>0.30596005579999902</v>
      </c>
      <c r="AA143">
        <v>17.647058820000002</v>
      </c>
      <c r="AB143">
        <v>7.1488258852</v>
      </c>
      <c r="AD143" s="2">
        <f>(D143-O143-J143+Q143)*Z143</f>
        <v>119.5235005080155</v>
      </c>
      <c r="AE143">
        <v>0.23525074500000001</v>
      </c>
      <c r="AF143">
        <v>0.76624177055609999</v>
      </c>
      <c r="AG143">
        <v>0.206611570247933</v>
      </c>
      <c r="AH143">
        <v>2.5423728813559299E-2</v>
      </c>
      <c r="AI143">
        <v>1.3084112149532701E-2</v>
      </c>
      <c r="AJ143">
        <v>0.12221157621927201</v>
      </c>
      <c r="AK143">
        <v>9.1588785046728904E-2</v>
      </c>
      <c r="AL143">
        <v>0</v>
      </c>
      <c r="AM143">
        <v>3.5308753323899001E-3</v>
      </c>
      <c r="AN143">
        <v>8.2242990654204703E-3</v>
      </c>
      <c r="AO143">
        <v>5.0462577554386101E-2</v>
      </c>
      <c r="AP143">
        <v>1.1101861305269699E-2</v>
      </c>
      <c r="AQ143">
        <v>5.2379989736731402E-3</v>
      </c>
    </row>
    <row r="144" spans="1:43" x14ac:dyDescent="0.4">
      <c r="A144" t="s">
        <v>154</v>
      </c>
      <c r="B144" s="3" t="s">
        <v>159</v>
      </c>
      <c r="C144" s="4">
        <f>K144*1.9+G144*2.6+H144*5.2+I144*7.8+J144*10.4+L144*1.9+S144*4.2+M144*2.6+P144*2.6</f>
        <v>895.23966936674947</v>
      </c>
      <c r="D144" s="2">
        <f>E144-M144-P144-Q144-R144</f>
        <v>497.56936937176107</v>
      </c>
      <c r="E144">
        <v>552</v>
      </c>
      <c r="F144" s="2">
        <f>AD144+J144</f>
        <v>122.61236597918236</v>
      </c>
      <c r="G144" s="2">
        <f>$AD144*AF144</f>
        <v>82.255377609973721</v>
      </c>
      <c r="H144" s="2">
        <f>$AD144*AG144</f>
        <v>22.122473195836474</v>
      </c>
      <c r="I144" s="2">
        <f>$AD144*AH144</f>
        <v>4.022267853788442</v>
      </c>
      <c r="J144" s="2">
        <f>$E144*AI144</f>
        <v>11.999999999999996</v>
      </c>
      <c r="K144" s="2">
        <f>$E144*AJ144</f>
        <v>64.228571428571158</v>
      </c>
      <c r="L144" s="2">
        <f>$E144*AK144</f>
        <v>60.999999999999673</v>
      </c>
      <c r="M144" s="2">
        <f>$E144*(AB144/100)</f>
        <v>43.519047616656003</v>
      </c>
      <c r="N144" s="2">
        <f>$E144*AL144</f>
        <v>0</v>
      </c>
      <c r="O144" s="2">
        <f>$E144*(AA144/100)</f>
        <v>111.27619048320001</v>
      </c>
      <c r="P144" s="2">
        <f>$E144*AM144</f>
        <v>5.0328185328185029</v>
      </c>
      <c r="Q144" s="2">
        <f>$E144*AN144</f>
        <v>3.7999999999999705</v>
      </c>
      <c r="R144" s="2">
        <f>$E144*AQ144</f>
        <v>2.0787644787644579</v>
      </c>
      <c r="S144" s="2">
        <f>$E144*AO144</f>
        <v>10.95142857142854</v>
      </c>
      <c r="T144" s="2">
        <f>$E144*AP144</f>
        <v>3.9504761904761865</v>
      </c>
      <c r="U144" s="2">
        <f>S144-T144</f>
        <v>7.0009523809523539</v>
      </c>
      <c r="V144" s="1">
        <f>F144/D144</f>
        <v>0.24642265687293946</v>
      </c>
      <c r="W144" s="1">
        <f>(F144+M144+N144+P144)/(D144+M144+N144+Q144)</f>
        <v>0.31412712546667221</v>
      </c>
      <c r="X144" s="1">
        <f>(G144+H144*2+I144*3+J144*4)/D144</f>
        <v>0.37495701915609192</v>
      </c>
      <c r="Y144" s="1">
        <f>W144+X144</f>
        <v>0.68908414462276413</v>
      </c>
      <c r="Z144">
        <v>0.29255319099999999</v>
      </c>
      <c r="AA144">
        <v>20.158730160000001</v>
      </c>
      <c r="AB144">
        <v>7.8838854378000001</v>
      </c>
      <c r="AD144" s="2">
        <f>(D144-O144-J144+Q144)*Z144</f>
        <v>110.61236597918236</v>
      </c>
      <c r="AE144">
        <v>0.22344221</v>
      </c>
      <c r="AF144">
        <v>0.74363636363636298</v>
      </c>
      <c r="AG144">
        <v>0.2</v>
      </c>
      <c r="AH144">
        <v>3.6363636363636299E-2</v>
      </c>
      <c r="AI144">
        <v>2.1739130434782601E-2</v>
      </c>
      <c r="AJ144">
        <v>0.116356107660455</v>
      </c>
      <c r="AK144">
        <v>0.110507246376811</v>
      </c>
      <c r="AL144">
        <v>0</v>
      </c>
      <c r="AM144">
        <v>9.1174248782943893E-3</v>
      </c>
      <c r="AN144">
        <v>6.8840579710144397E-3</v>
      </c>
      <c r="AO144">
        <v>1.9839544513457499E-2</v>
      </c>
      <c r="AP144">
        <v>7.1566597653554102E-3</v>
      </c>
      <c r="AQ144">
        <v>3.7658776789211198E-3</v>
      </c>
    </row>
    <row r="145" spans="1:43" x14ac:dyDescent="0.4">
      <c r="A145" t="s">
        <v>229</v>
      </c>
      <c r="B145" t="s">
        <v>234</v>
      </c>
      <c r="C145" s="4">
        <f>K145*1.9+G145*2.6+H145*5.2+I145*7.8+J145*10.4+L145*1.9+S145*4.2+M145*2.6+P145*2.6</f>
        <v>891.62614649255238</v>
      </c>
      <c r="D145" s="2">
        <f>E145-M145-P145-Q145-R145</f>
        <v>429.22810526653848</v>
      </c>
      <c r="E145">
        <v>497</v>
      </c>
      <c r="F145" s="2">
        <f>AD145+J145</f>
        <v>104.50786630565598</v>
      </c>
      <c r="G145" s="2">
        <f>$AD145*AF145</f>
        <v>65.824344739780557</v>
      </c>
      <c r="H145" s="2">
        <f>$AD145*AG145</f>
        <v>20.511835471319714</v>
      </c>
      <c r="I145" s="2">
        <f>$AD145*AH145</f>
        <v>2.007091827354833</v>
      </c>
      <c r="J145" s="2">
        <f>$E145*AI145</f>
        <v>16.599999999999941</v>
      </c>
      <c r="K145" s="2">
        <f>$E145*AJ145</f>
        <v>62.515789473683803</v>
      </c>
      <c r="L145" s="2">
        <f>$E145*AK145</f>
        <v>54.999999999999737</v>
      </c>
      <c r="M145" s="2">
        <f>$E145*(AB145/100)</f>
        <v>61.439473680830005</v>
      </c>
      <c r="N145" s="2">
        <f>$E145*AL145</f>
        <v>1.9868421052631169</v>
      </c>
      <c r="O145" s="2">
        <f>$E145*(AA145/100)</f>
        <v>100.8947368436</v>
      </c>
      <c r="P145" s="2">
        <f>$E145*AM145</f>
        <v>1.9046315789473256</v>
      </c>
      <c r="Q145" s="2">
        <f>$E145*AN145</f>
        <v>3.3999999999999719</v>
      </c>
      <c r="R145" s="2">
        <f>$E145*AQ145</f>
        <v>1.0277894736841904</v>
      </c>
      <c r="S145" s="2">
        <f>$E145*AO145</f>
        <v>8.9407894736841591</v>
      </c>
      <c r="T145" s="2">
        <f>$E145*AP145</f>
        <v>1.9868421052631169</v>
      </c>
      <c r="U145" s="2">
        <f>S145-T145</f>
        <v>6.9539473684210424</v>
      </c>
      <c r="V145" s="1">
        <f>F145/D145</f>
        <v>0.24347861899853823</v>
      </c>
      <c r="W145" s="1">
        <f>(F145+M145+N145+P145)/(D145+M145+N145+Q145)</f>
        <v>0.34237939722479854</v>
      </c>
      <c r="X145" s="1">
        <f>(G145+H145*2+I145*3+J145*4)/D145</f>
        <v>0.41765506257602375</v>
      </c>
      <c r="Y145" s="1">
        <f>W145+X145</f>
        <v>0.76003445980082229</v>
      </c>
      <c r="Z145">
        <v>0.27895448439999998</v>
      </c>
      <c r="AA145">
        <v>20.30075188</v>
      </c>
      <c r="AB145">
        <v>12.362067139000001</v>
      </c>
      <c r="AD145" s="2">
        <f>(D145-O145-J145+Q145)*Z145</f>
        <v>87.907866305656043</v>
      </c>
      <c r="AE145">
        <v>0.21401455699999999</v>
      </c>
      <c r="AF145">
        <v>0.748787878787878</v>
      </c>
      <c r="AG145">
        <v>0.233333333333333</v>
      </c>
      <c r="AH145">
        <v>2.2831765935214101E-2</v>
      </c>
      <c r="AI145">
        <v>3.3400402414486802E-2</v>
      </c>
      <c r="AJ145">
        <v>0.125786296727734</v>
      </c>
      <c r="AK145">
        <v>0.11066398390342</v>
      </c>
      <c r="AL145">
        <v>3.9976702319177403E-3</v>
      </c>
      <c r="AM145">
        <v>3.8322566980831499E-3</v>
      </c>
      <c r="AN145">
        <v>6.8410462776659397E-3</v>
      </c>
      <c r="AO145">
        <v>1.79895160436301E-2</v>
      </c>
      <c r="AP145">
        <v>3.9976702319177403E-3</v>
      </c>
      <c r="AQ145">
        <v>2.0679868685798599E-3</v>
      </c>
    </row>
    <row r="146" spans="1:43" x14ac:dyDescent="0.4">
      <c r="A146" t="s">
        <v>31</v>
      </c>
      <c r="B146" s="3" t="s">
        <v>37</v>
      </c>
      <c r="C146" s="4">
        <f>K146*1.9+G146*2.6+H146*5.2+I146*7.8+J146*10.4+L146*1.9+S146*4.2+M146*2.6+P146*2.6</f>
        <v>891.32055153771921</v>
      </c>
      <c r="D146" s="2">
        <f>E146-M146-P146-Q146-R146</f>
        <v>462.0015350865192</v>
      </c>
      <c r="E146">
        <v>511</v>
      </c>
      <c r="F146" s="2">
        <f>AD146+J146</f>
        <v>109.34073463269402</v>
      </c>
      <c r="G146" s="2">
        <f>$AD146*AF146</f>
        <v>63.211508580265054</v>
      </c>
      <c r="H146" s="2">
        <f>$AD146*AG146</f>
        <v>20.710086363797299</v>
      </c>
      <c r="I146" s="2">
        <f>$AD146*AH146</f>
        <v>1.6253269627696929</v>
      </c>
      <c r="J146" s="2">
        <f>$E146*AI146</f>
        <v>24.528000000000002</v>
      </c>
      <c r="K146" s="2">
        <f>$E146*AJ146</f>
        <v>56.226315789473546</v>
      </c>
      <c r="L146" s="2">
        <f>$E146*AK146</f>
        <v>64.999999999999517</v>
      </c>
      <c r="M146" s="2">
        <f>$E146*(AB146/100)</f>
        <v>39.938157895936996</v>
      </c>
      <c r="N146" s="2">
        <f>$E146*AL146</f>
        <v>1.9921052631578815</v>
      </c>
      <c r="O146" s="2">
        <f>$E146*(AA146/100)</f>
        <v>136.3947368252</v>
      </c>
      <c r="P146" s="2">
        <f>$E146*AM146</f>
        <v>5.0603070175438241</v>
      </c>
      <c r="Q146" s="2">
        <f>$E146*AN146</f>
        <v>3.9999999999999707</v>
      </c>
      <c r="R146" s="2">
        <f>$E146*AQ146</f>
        <v>0</v>
      </c>
      <c r="S146" s="2">
        <f>$E146*AO146</f>
        <v>0.99605263157894075</v>
      </c>
      <c r="T146" s="2">
        <f>$E146*AP146</f>
        <v>0.99605263157894075</v>
      </c>
      <c r="U146" s="2">
        <f>S146-T146</f>
        <v>0</v>
      </c>
      <c r="V146" s="1">
        <f>F146/D146</f>
        <v>0.23666747040617028</v>
      </c>
      <c r="W146" s="1">
        <f>(F146+M146+N146+P146)/(D146+M146+N146+Q146)</f>
        <v>0.30778011014332596</v>
      </c>
      <c r="X146" s="1">
        <f>(G146+H146*2+I146*3+J146*4)/D146</f>
        <v>0.44939171502382075</v>
      </c>
      <c r="Y146" s="1">
        <f>W146+X146</f>
        <v>0.75717182516714665</v>
      </c>
      <c r="Z146">
        <v>0.27800271639999902</v>
      </c>
      <c r="AA146">
        <v>26.69172932</v>
      </c>
      <c r="AB146">
        <v>7.8156864766999998</v>
      </c>
      <c r="AD146" s="2">
        <f>(D146-O146-J146+Q146)*Z146</f>
        <v>84.812734632694017</v>
      </c>
      <c r="AE146">
        <v>0.208210534</v>
      </c>
      <c r="AF146">
        <v>0.74530680862986798</v>
      </c>
      <c r="AG146">
        <v>0.24418604651162701</v>
      </c>
      <c r="AH146">
        <v>1.9163713678242301E-2</v>
      </c>
      <c r="AI146">
        <v>4.8000000000000001E-2</v>
      </c>
      <c r="AJ146">
        <v>0.110031929137913</v>
      </c>
      <c r="AK146">
        <v>0.12720156555772899</v>
      </c>
      <c r="AL146">
        <v>3.8984447419919402E-3</v>
      </c>
      <c r="AM146">
        <v>9.9027534589898707E-3</v>
      </c>
      <c r="AN146">
        <v>7.8277886497064002E-3</v>
      </c>
      <c r="AO146">
        <v>1.9492223709959701E-3</v>
      </c>
      <c r="AP146">
        <v>1.9492223709959701E-3</v>
      </c>
      <c r="AQ146">
        <v>0</v>
      </c>
    </row>
    <row r="147" spans="1:43" x14ac:dyDescent="0.4">
      <c r="A147" t="s">
        <v>72</v>
      </c>
      <c r="B147" t="s">
        <v>78</v>
      </c>
      <c r="C147" s="4">
        <f>K147*1.9+G147*2.6+H147*5.2+I147*7.8+J147*10.4+L147*1.9+S147*4.2+M147*2.6+P147*2.6</f>
        <v>887.08146063692379</v>
      </c>
      <c r="D147" s="2">
        <f>E147-M147-P147-Q147-R147</f>
        <v>493.52454923787644</v>
      </c>
      <c r="E147">
        <v>540</v>
      </c>
      <c r="F147" s="2">
        <f>AD147+J147</f>
        <v>134.47671470663107</v>
      </c>
      <c r="G147" s="2">
        <f>$AD147*AF147</f>
        <v>103.33681577458103</v>
      </c>
      <c r="H147" s="2">
        <f>$AD147*AG147</f>
        <v>22.047191655394354</v>
      </c>
      <c r="I147" s="2">
        <f>$AD147*AH147</f>
        <v>2.0199486672911107</v>
      </c>
      <c r="J147" s="2">
        <f>$E147*AI147</f>
        <v>5.1999999999999948</v>
      </c>
      <c r="K147" s="2">
        <f>$E147*AJ147</f>
        <v>64.057142857142523</v>
      </c>
      <c r="L147" s="2">
        <f>$E147*AK147</f>
        <v>48.999999999999979</v>
      </c>
      <c r="M147" s="2">
        <f>$E147*(AB147/100)</f>
        <v>33.41428571358</v>
      </c>
      <c r="N147" s="2">
        <f>$E147*AL147</f>
        <v>0.59523809523807603</v>
      </c>
      <c r="O147" s="2">
        <f>$E147*(AA147/100)</f>
        <v>59.999999994</v>
      </c>
      <c r="P147" s="2">
        <f>$E147*AM147</f>
        <v>9.0611650485436321</v>
      </c>
      <c r="Q147" s="2">
        <f>$E147*AN147</f>
        <v>3.5999999999999859</v>
      </c>
      <c r="R147" s="2">
        <f>$E147*AQ147</f>
        <v>0.39999999999998881</v>
      </c>
      <c r="S147" s="2">
        <f>$E147*AO147</f>
        <v>25.87619047619043</v>
      </c>
      <c r="T147" s="2">
        <f>$E147*AP147</f>
        <v>5.87619047619045</v>
      </c>
      <c r="U147" s="2">
        <f>S147-T147</f>
        <v>19.999999999999979</v>
      </c>
      <c r="V147" s="1">
        <f>F147/D147</f>
        <v>0.27248232112120108</v>
      </c>
      <c r="W147" s="1">
        <f>(F147+M147+N147+P147)/(D147+M147+N147+Q147)</f>
        <v>0.33427982231594422</v>
      </c>
      <c r="X147" s="1">
        <f>(G147+H147*2+I147*3+J147*4)/D147</f>
        <v>0.35315577585024166</v>
      </c>
      <c r="Y147" s="1">
        <f>W147+X147</f>
        <v>0.68743559816618593</v>
      </c>
      <c r="Z147">
        <v>0.29930392919999999</v>
      </c>
      <c r="AA147">
        <v>11.11111111</v>
      </c>
      <c r="AB147">
        <v>6.1878306877</v>
      </c>
      <c r="AD147" s="2">
        <f>(D147-O147-J147+Q147)*Z147</f>
        <v>129.27671470663108</v>
      </c>
      <c r="AE147">
        <v>0.248285702</v>
      </c>
      <c r="AF147">
        <v>0.79934593023255796</v>
      </c>
      <c r="AG147">
        <v>0.170542635658914</v>
      </c>
      <c r="AH147">
        <v>1.5625E-2</v>
      </c>
      <c r="AI147">
        <v>9.6296296296296199E-3</v>
      </c>
      <c r="AJ147">
        <v>0.11862433862433799</v>
      </c>
      <c r="AK147">
        <v>9.0740740740740705E-2</v>
      </c>
      <c r="AL147">
        <v>1.1022927689594E-3</v>
      </c>
      <c r="AM147">
        <v>1.6779935275080801E-2</v>
      </c>
      <c r="AN147">
        <v>6.6666666666666402E-3</v>
      </c>
      <c r="AO147">
        <v>4.7918871252204502E-2</v>
      </c>
      <c r="AP147">
        <v>1.08818342151675E-2</v>
      </c>
      <c r="AQ147">
        <v>7.4074074074072E-4</v>
      </c>
    </row>
    <row r="148" spans="1:43" x14ac:dyDescent="0.4">
      <c r="A148" t="s">
        <v>129</v>
      </c>
      <c r="B148" s="3" t="s">
        <v>135</v>
      </c>
      <c r="C148" s="4">
        <f>K148*1.9+G148*2.6+H148*5.2+I148*7.8+J148*10.4+L148*1.9+S148*4.2+M148*2.6+P148*2.6</f>
        <v>886.05503049509753</v>
      </c>
      <c r="D148" s="2">
        <f>E148-M148-P148-Q148-R148</f>
        <v>485.06488249840123</v>
      </c>
      <c r="E148">
        <v>563</v>
      </c>
      <c r="F148" s="2">
        <f>AD148+J148</f>
        <v>121.82902212500433</v>
      </c>
      <c r="G148" s="2">
        <f>$AD148*AF148</f>
        <v>91.226196551710402</v>
      </c>
      <c r="H148" s="2">
        <f>$AD148*AG148</f>
        <v>19.794565285088478</v>
      </c>
      <c r="I148" s="2">
        <f>$AD148*AH148</f>
        <v>1.4086761432492634</v>
      </c>
      <c r="J148" s="2">
        <f>$E148*AI148</f>
        <v>8.999999999999968</v>
      </c>
      <c r="K148" s="2">
        <f>$E148*AJ148</f>
        <v>65.116094032549313</v>
      </c>
      <c r="L148" s="2">
        <f>$E148*AK148</f>
        <v>51.999999999999972</v>
      </c>
      <c r="M148" s="2">
        <f>$E148*(AB148/100)</f>
        <v>63.317540709789995</v>
      </c>
      <c r="N148" s="2">
        <f>$E148*AL148</f>
        <v>1.299999999999971</v>
      </c>
      <c r="O148" s="2">
        <f>$E148*(AA148/100)</f>
        <v>93.663652808899997</v>
      </c>
      <c r="P148" s="2">
        <f>$E148*AM148</f>
        <v>8.064675767918029</v>
      </c>
      <c r="Q148" s="2">
        <f>$E148*AN148</f>
        <v>4.5999999999999481</v>
      </c>
      <c r="R148" s="2">
        <f>$E148*AQ148</f>
        <v>1.9529010238907503</v>
      </c>
      <c r="S148" s="2">
        <f>$E148*AO148</f>
        <v>7.9126582278480839</v>
      </c>
      <c r="T148" s="2">
        <f>$E148*AP148</f>
        <v>1.9018083182639709</v>
      </c>
      <c r="U148" s="2">
        <f>S148-T148</f>
        <v>6.0108499095841132</v>
      </c>
      <c r="V148" s="1">
        <f>F148/D148</f>
        <v>0.25116026024705235</v>
      </c>
      <c r="W148" s="1">
        <f>(F148+M148+N148+P148)/(D148+M148+N148+Q148)</f>
        <v>0.35092442130291585</v>
      </c>
      <c r="X148" s="1">
        <f>(G148+H148*2+I148*3+J148*4)/D148</f>
        <v>0.35261541645864003</v>
      </c>
      <c r="Y148" s="1">
        <f>W148+X148</f>
        <v>0.70353983776155582</v>
      </c>
      <c r="Z148">
        <v>0.29154693440000001</v>
      </c>
      <c r="AA148">
        <v>16.636528030000001</v>
      </c>
      <c r="AB148">
        <v>11.246454833</v>
      </c>
      <c r="AD148" s="2">
        <f>(D148-O148-J148+Q148)*Z148</f>
        <v>112.82902212500436</v>
      </c>
      <c r="AE148">
        <v>0.217523722</v>
      </c>
      <c r="AF148">
        <v>0.80853485064011299</v>
      </c>
      <c r="AG148">
        <v>0.175438596491228</v>
      </c>
      <c r="AH148">
        <v>1.2485051423104399E-2</v>
      </c>
      <c r="AI148">
        <v>1.5985790408525699E-2</v>
      </c>
      <c r="AJ148">
        <v>0.115659136825132</v>
      </c>
      <c r="AK148">
        <v>9.2362344582593195E-2</v>
      </c>
      <c r="AL148">
        <v>2.3090586145647798E-3</v>
      </c>
      <c r="AM148">
        <v>1.4324468504294899E-2</v>
      </c>
      <c r="AN148">
        <v>8.1705150976908499E-3</v>
      </c>
      <c r="AO148">
        <v>1.40544551116307E-2</v>
      </c>
      <c r="AP148">
        <v>3.3779899081065202E-3</v>
      </c>
      <c r="AQ148">
        <v>3.46874071739032E-3</v>
      </c>
    </row>
    <row r="149" spans="1:43" x14ac:dyDescent="0.4">
      <c r="A149" t="s">
        <v>214</v>
      </c>
      <c r="B149" t="s">
        <v>222</v>
      </c>
      <c r="C149" s="4">
        <f>K149*1.9+G149*2.6+H149*5.2+I149*7.8+J149*10.4+L149*1.9+S149*4.2+M149*2.6+P149*2.6</f>
        <v>885.36320013056991</v>
      </c>
      <c r="D149" s="2">
        <f>E149-M149-P149-Q149-R149</f>
        <v>441.16579401736374</v>
      </c>
      <c r="E149">
        <v>504</v>
      </c>
      <c r="F149" s="2">
        <f>AD149+J149</f>
        <v>105.99005258311315</v>
      </c>
      <c r="G149" s="2">
        <f>$AD149*AF149</f>
        <v>75.06514939713405</v>
      </c>
      <c r="H149" s="2">
        <f>$AD149*AG149</f>
        <v>18.148134859333723</v>
      </c>
      <c r="I149" s="2">
        <f>$AD149*AH149</f>
        <v>1.9177739762851775</v>
      </c>
      <c r="J149" s="2">
        <f>$E149*AI149</f>
        <v>9.1999999999999726</v>
      </c>
      <c r="K149" s="2">
        <f>$E149*AJ149</f>
        <v>62.78481012658176</v>
      </c>
      <c r="L149" s="2">
        <f>$E149*AK149</f>
        <v>40.999999999999972</v>
      </c>
      <c r="M149" s="2">
        <f>$E149*(AB149/100)</f>
        <v>36.945569618999997</v>
      </c>
      <c r="N149" s="2">
        <f>$E149*AL149</f>
        <v>0</v>
      </c>
      <c r="O149" s="2">
        <f>$E149*(AA149/100)</f>
        <v>107.54430382080001</v>
      </c>
      <c r="P149" s="2">
        <f>$E149*AM149</f>
        <v>13.274999999999942</v>
      </c>
      <c r="Q149" s="2">
        <f>$E149*AN149</f>
        <v>2.9999999999999738</v>
      </c>
      <c r="R149" s="2">
        <f>$E149*AQ149</f>
        <v>9.6136363636363011</v>
      </c>
      <c r="S149" s="2">
        <f>$E149*AO149</f>
        <v>37.481012658227783</v>
      </c>
      <c r="T149" s="2">
        <f>$E149*AP149</f>
        <v>5.9468354430379273</v>
      </c>
      <c r="U149" s="2">
        <f>S149-T149</f>
        <v>31.534177215189857</v>
      </c>
      <c r="V149" s="1">
        <f>F149/D149</f>
        <v>0.24024993329138641</v>
      </c>
      <c r="W149" s="1">
        <f>(F149+M149+N149+P149)/(D149+M149+N149+Q149)</f>
        <v>0.32468703507943142</v>
      </c>
      <c r="X149" s="1">
        <f>(G149+H149*2+I149*3+J149*4)/D149</f>
        <v>0.34888185605477617</v>
      </c>
      <c r="Y149" s="1">
        <f>W149+X149</f>
        <v>0.67356889113420759</v>
      </c>
      <c r="Z149">
        <v>0.29561301099999998</v>
      </c>
      <c r="AA149">
        <v>21.338155520000001</v>
      </c>
      <c r="AB149">
        <v>7.3304701625000002</v>
      </c>
      <c r="AD149" s="2">
        <f>(D149-O149-J149+Q149)*Z149</f>
        <v>96.79005258311318</v>
      </c>
      <c r="AE149">
        <v>0.22046365900000001</v>
      </c>
      <c r="AF149">
        <v>0.77554611650485406</v>
      </c>
      <c r="AG149">
        <v>0.1875</v>
      </c>
      <c r="AH149">
        <v>1.9813750743015598E-2</v>
      </c>
      <c r="AI149">
        <v>1.82539682539682E-2</v>
      </c>
      <c r="AJ149">
        <v>0.12457303596544</v>
      </c>
      <c r="AK149">
        <v>8.1349206349206296E-2</v>
      </c>
      <c r="AL149">
        <v>0</v>
      </c>
      <c r="AM149">
        <v>2.63392857142856E-2</v>
      </c>
      <c r="AN149">
        <v>5.9523809523809E-3</v>
      </c>
      <c r="AO149">
        <v>7.4367088607594806E-2</v>
      </c>
      <c r="AP149">
        <v>1.17992766726943E-2</v>
      </c>
      <c r="AQ149">
        <v>1.9074675324675199E-2</v>
      </c>
    </row>
    <row r="150" spans="1:43" x14ac:dyDescent="0.4">
      <c r="A150" t="s">
        <v>129</v>
      </c>
      <c r="B150" s="3" t="s">
        <v>132</v>
      </c>
      <c r="C150" s="4">
        <f>K150*1.9+G150*2.6+H150*5.2+I150*7.8+J150*10.4+L150*1.9+S150*4.2+M150*2.6+P150*2.6</f>
        <v>881.39836577578569</v>
      </c>
      <c r="D150" s="2">
        <f>E150-M150-P150-Q150-R150</f>
        <v>448.88889614597588</v>
      </c>
      <c r="E150">
        <v>497</v>
      </c>
      <c r="F150" s="2">
        <f>AD150+J150</f>
        <v>109.3322825705811</v>
      </c>
      <c r="G150" s="2">
        <f>$AD150*AF150</f>
        <v>65.355642417695478</v>
      </c>
      <c r="H150" s="2">
        <f>$AD150*AG150</f>
        <v>22.084025477618138</v>
      </c>
      <c r="I150" s="2">
        <f>$AD150*AH150</f>
        <v>1.0154916577974471</v>
      </c>
      <c r="J150" s="2">
        <f>$E150*AI150</f>
        <v>21.999999999999996</v>
      </c>
      <c r="K150" s="2">
        <f>$E150*AJ150</f>
        <v>58.854545454545139</v>
      </c>
      <c r="L150" s="2">
        <f>$E150*AK150</f>
        <v>62.999999999999652</v>
      </c>
      <c r="M150" s="2">
        <f>$E150*(AB150/100)</f>
        <v>38.180303032669002</v>
      </c>
      <c r="N150" s="2">
        <f>$E150*AL150</f>
        <v>0.39999999999999086</v>
      </c>
      <c r="O150" s="2">
        <f>$E150*(AA150/100)</f>
        <v>129.09090907089998</v>
      </c>
      <c r="P150" s="2">
        <f>$E150*AM150</f>
        <v>6.3184804928130633</v>
      </c>
      <c r="Q150" s="2">
        <f>$E150*AN150</f>
        <v>2.5999999999999654</v>
      </c>
      <c r="R150" s="2">
        <f>$E150*AQ150</f>
        <v>1.0123203285420628</v>
      </c>
      <c r="S150" s="2">
        <f>$E150*AO150</f>
        <v>3.0227272727272512</v>
      </c>
      <c r="T150" s="2">
        <f>$E150*AP150</f>
        <v>2.0151515151514729</v>
      </c>
      <c r="U150" s="2">
        <f>S150-T150</f>
        <v>1.0075757575757782</v>
      </c>
      <c r="V150" s="1">
        <f>F150/D150</f>
        <v>0.2435620116899192</v>
      </c>
      <c r="W150" s="1">
        <f>(F150+M150+N150+P150)/(D150+M150+N150+Q150)</f>
        <v>0.31471283311531134</v>
      </c>
      <c r="X150" s="1">
        <f>(G150+H150*2+I150*3+J150*4)/D150</f>
        <v>0.44681472424102892</v>
      </c>
      <c r="Y150" s="1">
        <f>W150+X150</f>
        <v>0.76152755735634026</v>
      </c>
      <c r="Z150">
        <v>0.29072193000000002</v>
      </c>
      <c r="AA150">
        <v>25.97402597</v>
      </c>
      <c r="AB150">
        <v>7.6821535276999997</v>
      </c>
      <c r="AD150" s="2">
        <f>(D150-O150-J150+Q150)*Z150</f>
        <v>87.3322825705811</v>
      </c>
      <c r="AE150">
        <v>0.21717755899999999</v>
      </c>
      <c r="AF150">
        <v>0.74835605453087395</v>
      </c>
      <c r="AG150">
        <v>0.25287356321839</v>
      </c>
      <c r="AH150">
        <v>1.1627906976744099E-2</v>
      </c>
      <c r="AI150">
        <v>4.4265593561368201E-2</v>
      </c>
      <c r="AJ150">
        <v>0.118419608560453</v>
      </c>
      <c r="AK150">
        <v>0.12676056338028099</v>
      </c>
      <c r="AL150">
        <v>8.0482897384304001E-4</v>
      </c>
      <c r="AM150">
        <v>1.2713240428195299E-2</v>
      </c>
      <c r="AN150">
        <v>5.23138832997981E-3</v>
      </c>
      <c r="AO150">
        <v>6.0819462227912503E-3</v>
      </c>
      <c r="AP150">
        <v>4.0546308151941102E-3</v>
      </c>
      <c r="AQ150">
        <v>2.03686182805244E-3</v>
      </c>
    </row>
    <row r="151" spans="1:43" x14ac:dyDescent="0.4">
      <c r="A151" t="s">
        <v>223</v>
      </c>
      <c r="B151" s="3" t="s">
        <v>225</v>
      </c>
      <c r="C151" s="4">
        <f>K151*1.9+G151*2.6+H151*5.2+I151*7.8+J151*10.4+L151*1.9+S151*4.2+M151*2.6+P151*2.6</f>
        <v>880.37360157417299</v>
      </c>
      <c r="D151" s="2">
        <f>E151-M151-P151-Q151-R151</f>
        <v>470.86022727426865</v>
      </c>
      <c r="E151">
        <v>520</v>
      </c>
      <c r="F151" s="2">
        <f>AD151+J151</f>
        <v>135.07567029250708</v>
      </c>
      <c r="G151" s="2">
        <f>$AD151*AF151</f>
        <v>91.1837798780345</v>
      </c>
      <c r="H151" s="2">
        <f>$AD151*AG151</f>
        <v>31.167566232541766</v>
      </c>
      <c r="I151" s="2">
        <f>$AD151*AH151</f>
        <v>3.0405404103025826</v>
      </c>
      <c r="J151" s="2">
        <f>$E151*AI151</f>
        <v>9.3999999999999613</v>
      </c>
      <c r="K151" s="2">
        <f>$E151*AJ151</f>
        <v>60.441558441558314</v>
      </c>
      <c r="L151" s="2">
        <f>$E151*AK151</f>
        <v>52</v>
      </c>
      <c r="M151" s="2">
        <f>$E151*(AB151/100)</f>
        <v>39.798701297160001</v>
      </c>
      <c r="N151" s="2">
        <f>$E151*AL151</f>
        <v>2.0532467532467278</v>
      </c>
      <c r="O151" s="2">
        <f>$E151*(AA151/100)</f>
        <v>44.740259740799999</v>
      </c>
      <c r="P151" s="2">
        <f>$E151*AM151</f>
        <v>3.9482142857142386</v>
      </c>
      <c r="Q151" s="2">
        <f>$E151*AN151</f>
        <v>3.5999999999999512</v>
      </c>
      <c r="R151" s="2">
        <f>$E151*AQ151</f>
        <v>1.7928571428571336</v>
      </c>
      <c r="S151" s="2">
        <f>$E151*AO151</f>
        <v>7.7064935064934437</v>
      </c>
      <c r="T151" s="2">
        <f>$E151*AP151</f>
        <v>3.2064935064934721</v>
      </c>
      <c r="U151" s="2">
        <f>S151-T151</f>
        <v>4.4999999999999716</v>
      </c>
      <c r="V151" s="1">
        <f>F151/D151</f>
        <v>0.28686999340427971</v>
      </c>
      <c r="W151" s="1">
        <f>(F151+M151+N151+P151)/(D151+M151+N151+Q151)</f>
        <v>0.35032261734848097</v>
      </c>
      <c r="X151" s="1">
        <f>(G151+H151*2+I151*3+J151*4)/D151</f>
        <v>0.42526533772704628</v>
      </c>
      <c r="Y151" s="1">
        <f>W151+X151</f>
        <v>0.77558795507552725</v>
      </c>
      <c r="Z151">
        <v>0.29899999999999999</v>
      </c>
      <c r="AA151">
        <v>8.6038961040000004</v>
      </c>
      <c r="AB151">
        <v>7.6535964032999999</v>
      </c>
      <c r="AD151" s="2">
        <f>(D151-O151-J151+Q151)*Z151</f>
        <v>125.67567029250712</v>
      </c>
      <c r="AE151">
        <v>0.25737694100000003</v>
      </c>
      <c r="AF151">
        <v>0.72554838709677405</v>
      </c>
      <c r="AG151">
        <v>0.248</v>
      </c>
      <c r="AH151">
        <v>2.4193548387096701E-2</v>
      </c>
      <c r="AI151">
        <v>1.8076923076923001E-2</v>
      </c>
      <c r="AJ151">
        <v>0.11623376623376599</v>
      </c>
      <c r="AK151">
        <v>0.1</v>
      </c>
      <c r="AL151">
        <v>3.9485514485513998E-3</v>
      </c>
      <c r="AM151">
        <v>7.5927197802196896E-3</v>
      </c>
      <c r="AN151">
        <v>6.9230769230768296E-3</v>
      </c>
      <c r="AO151">
        <v>1.4820179820179699E-2</v>
      </c>
      <c r="AP151">
        <v>6.1663336663335998E-3</v>
      </c>
      <c r="AQ151">
        <v>3.4478021978021798E-3</v>
      </c>
    </row>
    <row r="152" spans="1:43" x14ac:dyDescent="0.4">
      <c r="A152" t="s">
        <v>49</v>
      </c>
      <c r="B152" t="s">
        <v>58</v>
      </c>
      <c r="C152" s="4">
        <f>K152*1.9+G152*2.6+H152*5.2+I152*7.8+J152*10.4+L152*1.9+S152*4.2+M152*2.6+P152*2.6</f>
        <v>876.92689874398786</v>
      </c>
      <c r="D152" s="2">
        <f>E152-M152-P152-Q152-R152</f>
        <v>475.19063152007323</v>
      </c>
      <c r="E152">
        <v>519</v>
      </c>
      <c r="F152" s="2">
        <f>AD152+J152</f>
        <v>123.22517339142721</v>
      </c>
      <c r="G152" s="2">
        <f>$AD152*AF152</f>
        <v>80.547077709784105</v>
      </c>
      <c r="H152" s="2">
        <f>$AD152*AG152</f>
        <v>22.618495214979646</v>
      </c>
      <c r="I152" s="2">
        <f>$AD152*AH152</f>
        <v>0.98897932318163306</v>
      </c>
      <c r="J152" s="2">
        <f>$E152*AI152</f>
        <v>17.99999999999995</v>
      </c>
      <c r="K152" s="2">
        <f>$E152*AJ152</f>
        <v>60.105639097744245</v>
      </c>
      <c r="L152" s="2">
        <f>$E152*AK152</f>
        <v>66.999999999999716</v>
      </c>
      <c r="M152" s="2">
        <f>$E152*(AB152/100)</f>
        <v>35.012030076884948</v>
      </c>
      <c r="N152" s="2">
        <f>$E152*AL152</f>
        <v>0.99755639097740489</v>
      </c>
      <c r="O152" s="2">
        <f>$E152*(AA152/100)</f>
        <v>123.8966165355</v>
      </c>
      <c r="P152" s="2">
        <f>$E152*AM152</f>
        <v>3.7973384030418056</v>
      </c>
      <c r="Q152" s="2">
        <f>$E152*AN152</f>
        <v>4.999999999999992</v>
      </c>
      <c r="R152" s="2">
        <f>$E152*AQ152</f>
        <v>0</v>
      </c>
      <c r="S152" s="2">
        <f>$E152*AO152</f>
        <v>2.9926691729323078</v>
      </c>
      <c r="T152" s="2">
        <f>$E152*AP152</f>
        <v>0.99755639097740489</v>
      </c>
      <c r="U152" s="2">
        <f>S152-T152</f>
        <v>1.9951127819549028</v>
      </c>
      <c r="V152" s="1">
        <f>F152/D152</f>
        <v>0.25931734596123213</v>
      </c>
      <c r="W152" s="1">
        <f>(F152+M152+N152+P152)/(D152+M152+N152+Q152)</f>
        <v>0.31583113021107179</v>
      </c>
      <c r="X152" s="1">
        <f>(G152+H152*2+I152*3+J152*4)/D152</f>
        <v>0.42246414973946694</v>
      </c>
      <c r="Y152" s="1">
        <f>W152+X152</f>
        <v>0.73829527995053867</v>
      </c>
      <c r="Z152">
        <v>0.311046512</v>
      </c>
      <c r="AA152">
        <v>23.872180449999998</v>
      </c>
      <c r="AB152">
        <v>6.7460558914999904</v>
      </c>
      <c r="AD152" s="2">
        <f>(D152-O152-J152+Q152)*Z152</f>
        <v>105.22517339142725</v>
      </c>
      <c r="AE152">
        <v>0.24037872499999999</v>
      </c>
      <c r="AF152">
        <v>0.76547346147063999</v>
      </c>
      <c r="AG152">
        <v>0.21495327102803699</v>
      </c>
      <c r="AH152">
        <v>9.39869511549986E-3</v>
      </c>
      <c r="AI152">
        <v>3.4682080924855398E-2</v>
      </c>
      <c r="AJ152">
        <v>0.115810479957118</v>
      </c>
      <c r="AK152">
        <v>0.12909441233140601</v>
      </c>
      <c r="AL152">
        <v>1.92207397105473E-3</v>
      </c>
      <c r="AM152">
        <v>7.3166443218531897E-3</v>
      </c>
      <c r="AN152">
        <v>9.6339113680153996E-3</v>
      </c>
      <c r="AO152">
        <v>5.7662219131643698E-3</v>
      </c>
      <c r="AP152">
        <v>1.92207397105473E-3</v>
      </c>
      <c r="AQ152">
        <v>0</v>
      </c>
    </row>
    <row r="153" spans="1:43" x14ac:dyDescent="0.4">
      <c r="A153" t="s">
        <v>189</v>
      </c>
      <c r="B153" t="s">
        <v>191</v>
      </c>
      <c r="C153" s="4">
        <f>K153*1.9+G153*2.6+H153*5.2+I153*7.8+J153*10.4+L153*1.9+S153*4.2+M153*2.6+P153*2.6</f>
        <v>875.1672385563021</v>
      </c>
      <c r="D153" s="2">
        <f>E153-M153-P153-Q153-R153</f>
        <v>430.86143459529222</v>
      </c>
      <c r="E153">
        <v>491</v>
      </c>
      <c r="F153" s="2">
        <f>AD153+J153</f>
        <v>103.54983737156327</v>
      </c>
      <c r="G153" s="2">
        <f>$AD153*AF153</f>
        <v>66.616489230722934</v>
      </c>
      <c r="H153" s="2">
        <f>$AD153*AG153</f>
        <v>20.213446600351254</v>
      </c>
      <c r="I153" s="2">
        <f>$AD153*AH153</f>
        <v>3.5458486616036486</v>
      </c>
      <c r="J153" s="2">
        <f>$E153*AI153</f>
        <v>13.59999999999998</v>
      </c>
      <c r="K153" s="2">
        <f>$E153*AJ153</f>
        <v>58.833766233765708</v>
      </c>
      <c r="L153" s="2">
        <f>$E153*AK153</f>
        <v>54.999999999999801</v>
      </c>
      <c r="M153" s="2">
        <f>$E153*(AB153/100)</f>
        <v>51.810204060170001</v>
      </c>
      <c r="N153" s="2">
        <f>$E153*AL153</f>
        <v>1.3910946196660394</v>
      </c>
      <c r="O153" s="2">
        <f>$E153*(AA153/100)</f>
        <v>151.2170686215</v>
      </c>
      <c r="P153" s="2">
        <f>$E153*AM153</f>
        <v>3.9094537815125885</v>
      </c>
      <c r="Q153" s="2">
        <f>$E153*AN153</f>
        <v>3.3999999999999879</v>
      </c>
      <c r="R153" s="2">
        <f>$E153*AQ153</f>
        <v>1.0189075630251927</v>
      </c>
      <c r="S153" s="2">
        <f>$E153*AO153</f>
        <v>15.857513914656762</v>
      </c>
      <c r="T153" s="2">
        <f>$E153*AP153</f>
        <v>3.0643784786641817</v>
      </c>
      <c r="U153" s="2">
        <f>S153-T153</f>
        <v>12.79313543599258</v>
      </c>
      <c r="V153" s="1">
        <f>F153/D153</f>
        <v>0.24033210925184692</v>
      </c>
      <c r="W153" s="1">
        <f>(F153+M153+N153+P153)/(D153+M153+N153+Q153)</f>
        <v>0.32958537928320691</v>
      </c>
      <c r="X153" s="1">
        <f>(G153+H153*2+I153*3+J153*4)/D153</f>
        <v>0.39938809695945932</v>
      </c>
      <c r="Y153" s="1">
        <f>W153+X153</f>
        <v>0.72897347624266629</v>
      </c>
      <c r="Z153">
        <v>0.3338345452</v>
      </c>
      <c r="AA153">
        <v>30.79777365</v>
      </c>
      <c r="AB153">
        <v>10.551976387</v>
      </c>
      <c r="AD153" s="2">
        <f>(D153-O153-J153+Q153)*Z153</f>
        <v>89.949837371563291</v>
      </c>
      <c r="AE153">
        <v>0.21459669200000001</v>
      </c>
      <c r="AF153">
        <v>0.740595994137762</v>
      </c>
      <c r="AG153">
        <v>0.224719101123595</v>
      </c>
      <c r="AH153">
        <v>3.9420289855072399E-2</v>
      </c>
      <c r="AI153">
        <v>2.7698574338085501E-2</v>
      </c>
      <c r="AJ153">
        <v>0.11982437114819899</v>
      </c>
      <c r="AK153">
        <v>0.112016293279022</v>
      </c>
      <c r="AL153">
        <v>2.83318659809784E-3</v>
      </c>
      <c r="AM153">
        <v>7.9622276609217692E-3</v>
      </c>
      <c r="AN153">
        <v>6.9246435845213604E-3</v>
      </c>
      <c r="AO153">
        <v>3.2296362351643099E-2</v>
      </c>
      <c r="AP153">
        <v>6.2410966978903902E-3</v>
      </c>
      <c r="AQ153">
        <v>2.0751681528007999E-3</v>
      </c>
    </row>
    <row r="154" spans="1:43" x14ac:dyDescent="0.4">
      <c r="A154" t="s">
        <v>84</v>
      </c>
      <c r="B154" t="s">
        <v>92</v>
      </c>
      <c r="C154" s="4">
        <f>K154*1.9+G154*2.6+H154*5.2+I154*7.8+J154*10.4+L154*1.9+S154*4.2+M154*2.6+P154*2.6</f>
        <v>871.02278292802782</v>
      </c>
      <c r="D154" s="2">
        <f>E154-M154-P154-Q154-R154</f>
        <v>445.21333333090405</v>
      </c>
      <c r="E154">
        <v>504</v>
      </c>
      <c r="F154" s="2">
        <f>AD154+J154</f>
        <v>106.05918522096177</v>
      </c>
      <c r="G154" s="2">
        <f>$AD154*AF154</f>
        <v>71.89229075563307</v>
      </c>
      <c r="H154" s="2">
        <f>$AD154*AG154</f>
        <v>17.047892921264665</v>
      </c>
      <c r="I154" s="2">
        <f>$AD154*AH154</f>
        <v>3.5842628760457731</v>
      </c>
      <c r="J154" s="2">
        <f>$E154*AI154</f>
        <v>13.79999999999996</v>
      </c>
      <c r="K154" s="2">
        <f>$E154*AJ154</f>
        <v>61.066666666666585</v>
      </c>
      <c r="L154" s="2">
        <f>$E154*AK154</f>
        <v>57.999999999999964</v>
      </c>
      <c r="M154" s="2">
        <f>$E154*(AB154/100)</f>
        <v>40.266666669095997</v>
      </c>
      <c r="N154" s="2">
        <f>$E154*AL154</f>
        <v>0.39999999999998304</v>
      </c>
      <c r="O154" s="2">
        <f>$E154*(AA154/100)</f>
        <v>84.444444453599999</v>
      </c>
      <c r="P154" s="2">
        <f>$E154*AM154</f>
        <v>10.231999999999948</v>
      </c>
      <c r="Q154" s="2">
        <f>$E154*AN154</f>
        <v>3.9999999999999813</v>
      </c>
      <c r="R154" s="2">
        <f>$E154*AQ154</f>
        <v>4.2879999999999656</v>
      </c>
      <c r="S154" s="2">
        <f>$E154*AO154</f>
        <v>15.822222222222159</v>
      </c>
      <c r="T154" s="2">
        <f>$E154*AP154</f>
        <v>3.9555555555555348</v>
      </c>
      <c r="U154" s="2">
        <f>S154-T154</f>
        <v>11.866666666666625</v>
      </c>
      <c r="V154" s="1">
        <f>F154/D154</f>
        <v>0.23822104434175484</v>
      </c>
      <c r="W154" s="1">
        <f>(F154+M154+N154+P154)/(D154+M154+N154+Q154)</f>
        <v>0.32040061217044519</v>
      </c>
      <c r="X154" s="1">
        <f>(G154+H154*2+I154*3+J154*4)/D154</f>
        <v>0.38619882279784468</v>
      </c>
      <c r="Y154" s="1">
        <f>W154+X154</f>
        <v>0.70659943496828981</v>
      </c>
      <c r="Z154">
        <v>0.26286998119999999</v>
      </c>
      <c r="AA154">
        <v>16.754850090000001</v>
      </c>
      <c r="AB154">
        <v>7.9894179898999997</v>
      </c>
      <c r="AD154" s="2">
        <f>(D154-O154-J154+Q154)*Z154</f>
        <v>92.259185220961811</v>
      </c>
      <c r="AE154">
        <v>0.21429237600000001</v>
      </c>
      <c r="AF154">
        <v>0.77924263674614302</v>
      </c>
      <c r="AG154">
        <v>0.184782608695652</v>
      </c>
      <c r="AH154">
        <v>3.8849929873772698E-2</v>
      </c>
      <c r="AI154">
        <v>2.7380952380952301E-2</v>
      </c>
      <c r="AJ154">
        <v>0.121164021164021</v>
      </c>
      <c r="AK154">
        <v>0.115079365079365</v>
      </c>
      <c r="AL154">
        <v>7.9365079365076004E-4</v>
      </c>
      <c r="AM154">
        <v>2.0301587301587199E-2</v>
      </c>
      <c r="AN154">
        <v>7.9365079365078996E-3</v>
      </c>
      <c r="AO154">
        <v>3.1393298059964603E-2</v>
      </c>
      <c r="AP154">
        <v>7.8483245149911403E-3</v>
      </c>
      <c r="AQ154">
        <v>8.5079365079364401E-3</v>
      </c>
    </row>
    <row r="155" spans="1:43" x14ac:dyDescent="0.4">
      <c r="A155" t="s">
        <v>101</v>
      </c>
      <c r="B155" s="3" t="s">
        <v>105</v>
      </c>
      <c r="C155" s="4">
        <f>K155*1.9+G155*2.6+H155*5.2+I155*7.8+J155*10.4+L155*1.9+S155*4.2+M155*2.6+P155*2.6</f>
        <v>863.90902833708037</v>
      </c>
      <c r="D155" s="2">
        <f>E155-M155-P155-Q155-R155</f>
        <v>429.15056236221272</v>
      </c>
      <c r="E155">
        <v>491</v>
      </c>
      <c r="F155" s="2">
        <f>AD155+J155</f>
        <v>105.29033030664321</v>
      </c>
      <c r="G155" s="2">
        <f>$AD155*AF155</f>
        <v>67.212338449019029</v>
      </c>
      <c r="H155" s="2">
        <f>$AD155*AG155</f>
        <v>21.540415016174215</v>
      </c>
      <c r="I155" s="2">
        <f>$AD155*AH155</f>
        <v>1.9932957931264137</v>
      </c>
      <c r="J155" s="2">
        <f>$E155*AI155</f>
        <v>13.999999999999998</v>
      </c>
      <c r="K155" s="2">
        <f>$E155*AJ155</f>
        <v>59.829729729729365</v>
      </c>
      <c r="L155" s="2">
        <f>$E155*AK155</f>
        <v>54.999999999999801</v>
      </c>
      <c r="M155" s="2">
        <f>$E155*(AB155/100)</f>
        <v>54.382046333439511</v>
      </c>
      <c r="N155" s="2">
        <f>$E155*AL155</f>
        <v>2.9843629343629203</v>
      </c>
      <c r="O155" s="2">
        <f>$E155*(AA155/100)</f>
        <v>144.07722005939999</v>
      </c>
      <c r="P155" s="2">
        <f>$E155*AM155</f>
        <v>4.0269565217391152</v>
      </c>
      <c r="Q155" s="2">
        <f>$E155*AN155</f>
        <v>2.3999999999999915</v>
      </c>
      <c r="R155" s="2">
        <f>$E155*AQ155</f>
        <v>1.0404347826086764</v>
      </c>
      <c r="S155" s="2">
        <f>$E155*AO155</f>
        <v>10.942664092664018</v>
      </c>
      <c r="T155" s="2">
        <f>$E155*AP155</f>
        <v>2.9843629343629203</v>
      </c>
      <c r="U155" s="2">
        <f>S155-T155</f>
        <v>7.9583011583010972</v>
      </c>
      <c r="V155" s="1">
        <f>F155/D155</f>
        <v>0.24534589848160518</v>
      </c>
      <c r="W155" s="1">
        <f>(F155+M155+N155+P155)/(D155+M155+N155+Q155)</f>
        <v>0.34092434046720227</v>
      </c>
      <c r="X155" s="1">
        <f>(G155+H155*2+I155*3+J155*4)/D155</f>
        <v>0.40142800911756549</v>
      </c>
      <c r="Y155" s="1">
        <f>W155+X155</f>
        <v>0.7423523495847677</v>
      </c>
      <c r="Z155">
        <v>0.33381802240000003</v>
      </c>
      <c r="AA155">
        <v>29.34362934</v>
      </c>
      <c r="AB155">
        <v>11.0757731839999</v>
      </c>
      <c r="AD155" s="2">
        <f>(D155-O155-J155+Q155)*Z155</f>
        <v>91.290330306643213</v>
      </c>
      <c r="AE155">
        <v>0.215511642</v>
      </c>
      <c r="AF155">
        <v>0.73624816805080595</v>
      </c>
      <c r="AG155">
        <v>0.235955056179775</v>
      </c>
      <c r="AH155">
        <v>2.1834687052078298E-2</v>
      </c>
      <c r="AI155">
        <v>2.8513238289205701E-2</v>
      </c>
      <c r="AJ155">
        <v>0.121852810040182</v>
      </c>
      <c r="AK155">
        <v>0.112016293279022</v>
      </c>
      <c r="AL155">
        <v>6.0781322492116504E-3</v>
      </c>
      <c r="AM155">
        <v>8.2015407774727392E-3</v>
      </c>
      <c r="AN155">
        <v>4.8879837067209598E-3</v>
      </c>
      <c r="AO155">
        <v>2.2286484913776002E-2</v>
      </c>
      <c r="AP155">
        <v>6.0781322492116504E-3</v>
      </c>
      <c r="AQ155">
        <v>2.11901177720708E-3</v>
      </c>
    </row>
    <row r="156" spans="1:43" x14ac:dyDescent="0.4">
      <c r="A156" t="s">
        <v>107</v>
      </c>
      <c r="B156" s="3" t="s">
        <v>108</v>
      </c>
      <c r="C156" s="4">
        <f>K156*1.9+G156*2.6+H156*5.2+I156*7.8+J156*10.4+L156*1.9+S156*4.2+M156*2.6+P156*2.6</f>
        <v>862.71452167099937</v>
      </c>
      <c r="D156" s="2">
        <f>E156-M156-P156-Q156-R156</f>
        <v>477.51429727958634</v>
      </c>
      <c r="E156">
        <v>523</v>
      </c>
      <c r="F156" s="2">
        <f>AD156+J156</f>
        <v>121.37367939878985</v>
      </c>
      <c r="G156" s="2">
        <f>$AD156*AF156</f>
        <v>80.328340549812381</v>
      </c>
      <c r="H156" s="2">
        <f>$AD156*AG156</f>
        <v>23.037332954880029</v>
      </c>
      <c r="I156" s="2">
        <f>$AD156*AH156</f>
        <v>3.328730459391934</v>
      </c>
      <c r="J156" s="2">
        <f>$E156*AI156</f>
        <v>14.199999999999946</v>
      </c>
      <c r="K156" s="2">
        <f>$E156*AJ156</f>
        <v>61.131868131867833</v>
      </c>
      <c r="L156" s="2">
        <f>$E156*AK156</f>
        <v>60.999999999999659</v>
      </c>
      <c r="M156" s="2">
        <f>$E156*(AB156/100)</f>
        <v>38.510439562518997</v>
      </c>
      <c r="N156" s="2">
        <f>$E156*AL156</f>
        <v>1.895787545787508</v>
      </c>
      <c r="O156" s="2">
        <f>$E156*(AA156/100)</f>
        <v>111.11355313749999</v>
      </c>
      <c r="P156" s="2">
        <f>$E156*AM156</f>
        <v>2.9752631578947275</v>
      </c>
      <c r="Q156" s="2">
        <f>$E156*AN156</f>
        <v>3.9999999999999716</v>
      </c>
      <c r="R156" s="2">
        <f>$E156*AQ156</f>
        <v>0</v>
      </c>
      <c r="S156" s="2">
        <f>$E156*AO156</f>
        <v>4.8831501831501383</v>
      </c>
      <c r="T156" s="2">
        <f>$E156*AP156</f>
        <v>0.99578754578752082</v>
      </c>
      <c r="U156" s="2">
        <f>S156-T156</f>
        <v>3.8873626373626173</v>
      </c>
      <c r="V156" s="1">
        <f>F156/D156</f>
        <v>0.2541781054311032</v>
      </c>
      <c r="W156" s="1">
        <f>(F156+M156+N156+P156)/(D156+M156+N156+Q156)</f>
        <v>0.31567099197375992</v>
      </c>
      <c r="X156" s="1">
        <f>(G156+H156*2+I156*3+J156*4)/D156</f>
        <v>0.40457259382253646</v>
      </c>
      <c r="Y156" s="1">
        <f>W156+X156</f>
        <v>0.72024358579629633</v>
      </c>
      <c r="Z156">
        <v>0.30087999859999998</v>
      </c>
      <c r="AA156">
        <v>21.24542125</v>
      </c>
      <c r="AB156">
        <v>7.3633727653000003</v>
      </c>
      <c r="AD156" s="2">
        <f>(D156-O156-J156+Q156)*Z156</f>
        <v>107.1736793987899</v>
      </c>
      <c r="AE156">
        <v>0.23604661699999999</v>
      </c>
      <c r="AF156">
        <v>0.749515562033782</v>
      </c>
      <c r="AG156">
        <v>0.21495327102803699</v>
      </c>
      <c r="AH156">
        <v>3.1059216013344399E-2</v>
      </c>
      <c r="AI156">
        <v>2.7151051625238901E-2</v>
      </c>
      <c r="AJ156">
        <v>0.11688693715462301</v>
      </c>
      <c r="AK156">
        <v>0.116634799235181</v>
      </c>
      <c r="AL156">
        <v>3.6248327835325198E-3</v>
      </c>
      <c r="AM156">
        <v>5.68883969004728E-3</v>
      </c>
      <c r="AN156">
        <v>7.6481835564052997E-3</v>
      </c>
      <c r="AO156">
        <v>9.3368072335566696E-3</v>
      </c>
      <c r="AP156">
        <v>1.9039914833413401E-3</v>
      </c>
      <c r="AQ156">
        <v>0</v>
      </c>
    </row>
    <row r="157" spans="1:43" x14ac:dyDescent="0.4">
      <c r="A157" t="s">
        <v>162</v>
      </c>
      <c r="B157" t="s">
        <v>164</v>
      </c>
      <c r="C157" s="4">
        <f>K157*1.9+G157*2.6+H157*5.2+I157*7.8+J157*10.4+L157*1.9+S157*4.2+M157*2.6+P157*2.6</f>
        <v>853.69399079078198</v>
      </c>
      <c r="D157" s="2">
        <f>E157-M157-P157-Q157-R157</f>
        <v>392.917853899688</v>
      </c>
      <c r="E157">
        <v>436</v>
      </c>
      <c r="F157" s="2">
        <f>AD157+J157</f>
        <v>94.017380469142154</v>
      </c>
      <c r="G157" s="2">
        <f>$AD157*AF157</f>
        <v>47.817992620035199</v>
      </c>
      <c r="H157" s="2">
        <f>$AD157*AG157</f>
        <v>23.486717989992044</v>
      </c>
      <c r="I157" s="2">
        <f>$AD157*AH157</f>
        <v>1.984037821072389</v>
      </c>
      <c r="J157" s="2">
        <f>$E157*AI157</f>
        <v>21.599999999999948</v>
      </c>
      <c r="K157" s="2">
        <f>$E157*AJ157</f>
        <v>59.947553816046863</v>
      </c>
      <c r="L157" s="2">
        <f>$E157*AK157</f>
        <v>60.999999999999588</v>
      </c>
      <c r="M157" s="2">
        <f>$E157*(AB157/100)</f>
        <v>31.956947161319999</v>
      </c>
      <c r="N157" s="2">
        <f>$E157*AL157</f>
        <v>0.98532289628176994</v>
      </c>
      <c r="O157" s="2">
        <f>$E157*(AA157/100)</f>
        <v>123.71819962960001</v>
      </c>
      <c r="P157" s="2">
        <f>$E157*AM157</f>
        <v>8.1251989389920105</v>
      </c>
      <c r="Q157" s="2">
        <f>$E157*AN157</f>
        <v>2.9999999999999876</v>
      </c>
      <c r="R157" s="2">
        <f>$E157*AQ157</f>
        <v>0</v>
      </c>
      <c r="S157" s="2">
        <f>$E157*AO157</f>
        <v>7.8825831702543594</v>
      </c>
      <c r="T157" s="2">
        <f>$E157*AP157</f>
        <v>1.9706457925635745</v>
      </c>
      <c r="U157" s="2">
        <f>S157-T157</f>
        <v>5.9119373776907853</v>
      </c>
      <c r="V157" s="1">
        <f>F157/D157</f>
        <v>0.23927999080730195</v>
      </c>
      <c r="W157" s="1">
        <f>(F157+M157+N157+P157)/(D157+M157+N157+Q157)</f>
        <v>0.31498580054318376</v>
      </c>
      <c r="X157" s="1">
        <f>(G157+H157*2+I157*3+J157*4)/D157</f>
        <v>0.47629177500041525</v>
      </c>
      <c r="Y157" s="1">
        <f>W157+X157</f>
        <v>0.79127757554359901</v>
      </c>
      <c r="Z157">
        <v>0.28897637819999999</v>
      </c>
      <c r="AA157">
        <v>28.37573386</v>
      </c>
      <c r="AB157">
        <v>7.3295750369999997</v>
      </c>
      <c r="AD157" s="2">
        <f>(D157-O157-J157+Q157)*Z157</f>
        <v>72.417380469142202</v>
      </c>
      <c r="AE157">
        <v>0.217118166</v>
      </c>
      <c r="AF157">
        <v>0.66031099592743403</v>
      </c>
      <c r="AG157">
        <v>0.32432432432432401</v>
      </c>
      <c r="AH157">
        <v>2.7397260273972601E-2</v>
      </c>
      <c r="AI157">
        <v>4.9541284403669603E-2</v>
      </c>
      <c r="AJ157">
        <v>0.13749438948634601</v>
      </c>
      <c r="AK157">
        <v>0.139908256880733</v>
      </c>
      <c r="AL157">
        <v>2.2599148997288301E-3</v>
      </c>
      <c r="AM157">
        <v>1.86357773830092E-2</v>
      </c>
      <c r="AN157">
        <v>6.8807339449541002E-3</v>
      </c>
      <c r="AO157">
        <v>1.8079319197831099E-2</v>
      </c>
      <c r="AP157">
        <v>4.51982979945774E-3</v>
      </c>
      <c r="AQ157">
        <v>0</v>
      </c>
    </row>
    <row r="158" spans="1:43" x14ac:dyDescent="0.4">
      <c r="A158" t="s">
        <v>229</v>
      </c>
      <c r="B158" s="3" t="s">
        <v>233</v>
      </c>
      <c r="C158" s="4">
        <f>K158*1.9+G158*2.6+H158*5.2+I158*7.8+J158*10.4+L158*1.9+S158*4.2+M158*2.6+P158*2.6</f>
        <v>853.04959584087783</v>
      </c>
      <c r="D158" s="2">
        <f>E158-M158-P158-Q158-R158</f>
        <v>471.44712079107524</v>
      </c>
      <c r="E158">
        <v>517</v>
      </c>
      <c r="F158" s="2">
        <f>AD158+J158</f>
        <v>117.73173152181357</v>
      </c>
      <c r="G158" s="2">
        <f>$AD158*AF158</f>
        <v>75.848990583324081</v>
      </c>
      <c r="H158" s="2">
        <f>$AD158*AG158</f>
        <v>25.17934596122879</v>
      </c>
      <c r="I158" s="2">
        <f>$AD158*AH158</f>
        <v>2.0105912273229944</v>
      </c>
      <c r="J158" s="2">
        <f>$E158*AI158</f>
        <v>14.999999999999988</v>
      </c>
      <c r="K158" s="2">
        <f>$E158*AJ158</f>
        <v>55.878306878306461</v>
      </c>
      <c r="L158" s="2">
        <f>$E158*AK158</f>
        <v>58.999999999999524</v>
      </c>
      <c r="M158" s="2">
        <f>$E158*(AB158/100)</f>
        <v>36.138447969535996</v>
      </c>
      <c r="N158" s="2">
        <f>$E158*AL158</f>
        <v>0.39999999999998587</v>
      </c>
      <c r="O158" s="2">
        <f>$E158*(AA158/100)</f>
        <v>117.6243386175</v>
      </c>
      <c r="P158" s="2">
        <f>$E158*AM158</f>
        <v>6.0144312393887569</v>
      </c>
      <c r="Q158" s="2">
        <f>$E158*AN158</f>
        <v>3.3999999999999782</v>
      </c>
      <c r="R158" s="2">
        <f>$E158*AQ158</f>
        <v>0</v>
      </c>
      <c r="S158" s="2">
        <f>$E158*AO158</f>
        <v>6.0382716049382328</v>
      </c>
      <c r="T158" s="2">
        <f>$E158*AP158</f>
        <v>2.0735449735449518</v>
      </c>
      <c r="U158" s="2">
        <f>S158-T158</f>
        <v>3.964726631393281</v>
      </c>
      <c r="V158" s="1">
        <f>F158/D158</f>
        <v>0.24972415002612167</v>
      </c>
      <c r="W158" s="1">
        <f>(F158+M158+N158+P158)/(D158+M158+N158+Q158)</f>
        <v>0.31343201787880415</v>
      </c>
      <c r="X158" s="1">
        <f>(G158+H158*2+I158*3+J158*4)/D158</f>
        <v>0.40776462027210625</v>
      </c>
      <c r="Y158" s="1">
        <f>W158+X158</f>
        <v>0.7211966381509104</v>
      </c>
      <c r="Z158">
        <v>0.30018963339999999</v>
      </c>
      <c r="AA158">
        <v>22.75132275</v>
      </c>
      <c r="AB158">
        <v>6.9900286208000004</v>
      </c>
      <c r="AD158" s="2">
        <f>(D158-O158-J158+Q158)*Z158</f>
        <v>102.73173152181359</v>
      </c>
      <c r="AE158">
        <v>0.228672968</v>
      </c>
      <c r="AF158">
        <v>0.73832095945174103</v>
      </c>
      <c r="AG158">
        <v>0.24509803921568599</v>
      </c>
      <c r="AH158">
        <v>1.9571277516101E-2</v>
      </c>
      <c r="AI158">
        <v>2.9013539651837499E-2</v>
      </c>
      <c r="AJ158">
        <v>0.10808183148608599</v>
      </c>
      <c r="AK158">
        <v>0.11411992263056001</v>
      </c>
      <c r="AL158">
        <v>7.7369439071563997E-4</v>
      </c>
      <c r="AM158">
        <v>1.16333292831504E-2</v>
      </c>
      <c r="AN158">
        <v>6.57640232108313E-3</v>
      </c>
      <c r="AO158">
        <v>1.1679442175896001E-2</v>
      </c>
      <c r="AP158">
        <v>4.0107252873209896E-3</v>
      </c>
      <c r="AQ158">
        <v>0</v>
      </c>
    </row>
    <row r="159" spans="1:43" x14ac:dyDescent="0.4">
      <c r="A159" t="s">
        <v>214</v>
      </c>
      <c r="B159" t="s">
        <v>217</v>
      </c>
      <c r="C159" s="4">
        <f>K159*1.9+G159*2.6+H159*5.2+I159*7.8+J159*10.4+L159*1.9+S159*4.2+M159*2.6+P159*2.6</f>
        <v>851.54592234488632</v>
      </c>
      <c r="D159" s="2">
        <f>E159-M159-P159-Q159-R159</f>
        <v>481.40753830617678</v>
      </c>
      <c r="E159">
        <v>555</v>
      </c>
      <c r="F159" s="2">
        <f>AD159+J159</f>
        <v>113.25764360258489</v>
      </c>
      <c r="G159" s="2">
        <f>$AD159*AF159</f>
        <v>77.815245294978652</v>
      </c>
      <c r="H159" s="2">
        <f>$AD159*AG159</f>
        <v>21.39010515654283</v>
      </c>
      <c r="I159" s="2">
        <f>$AD159*AH159</f>
        <v>0.99860434904494499</v>
      </c>
      <c r="J159" s="2">
        <f>$E159*AI159</f>
        <v>11.399999999999977</v>
      </c>
      <c r="K159" s="2">
        <f>$E159*AJ159</f>
        <v>62.022660098521634</v>
      </c>
      <c r="L159" s="2">
        <f>$E159*AK159</f>
        <v>51</v>
      </c>
      <c r="M159" s="2">
        <f>$E159*(AB159/100)</f>
        <v>63.170443345199445</v>
      </c>
      <c r="N159" s="2">
        <f>$E159*AL159</f>
        <v>0.89999999999999913</v>
      </c>
      <c r="O159" s="2">
        <f>$E159*(AA159/100)</f>
        <v>110.27093596050001</v>
      </c>
      <c r="P159" s="2">
        <f>$E159*AM159</f>
        <v>6.0110091743118765</v>
      </c>
      <c r="Q159" s="2">
        <f>$E159*AN159</f>
        <v>2.9999999999999969</v>
      </c>
      <c r="R159" s="2">
        <f>$E159*AQ159</f>
        <v>1.4110091743119255</v>
      </c>
      <c r="S159" s="2">
        <f>$E159*AO159</f>
        <v>4.055665024630537</v>
      </c>
      <c r="T159" s="2">
        <f>$E159*AP159</f>
        <v>0.99113300492610501</v>
      </c>
      <c r="U159" s="2">
        <f>S159-T159</f>
        <v>3.0645320197044321</v>
      </c>
      <c r="V159" s="1">
        <f>F159/D159</f>
        <v>0.23526354406721536</v>
      </c>
      <c r="W159" s="1">
        <f>(F159+M159+N159+P159)/(D159+M159+N159+Q159)</f>
        <v>0.3342688353142137</v>
      </c>
      <c r="X159" s="1">
        <f>(G159+H159*2+I159*3+J159*4)/D159</f>
        <v>0.35145122415510005</v>
      </c>
      <c r="Y159" s="1">
        <f>W159+X159</f>
        <v>0.6857200594693138</v>
      </c>
      <c r="Z159">
        <v>0.2808033238</v>
      </c>
      <c r="AA159">
        <v>19.868637110000002</v>
      </c>
      <c r="AB159">
        <v>11.382061863999899</v>
      </c>
      <c r="AD159" s="2">
        <f>(D159-O159-J159+Q159)*Z159</f>
        <v>101.85764360258491</v>
      </c>
      <c r="AE159">
        <v>0.20239259700000001</v>
      </c>
      <c r="AF159">
        <v>0.76396078431372505</v>
      </c>
      <c r="AG159">
        <v>0.21</v>
      </c>
      <c r="AH159">
        <v>9.8039215686274005E-3</v>
      </c>
      <c r="AI159">
        <v>2.0540540540540501E-2</v>
      </c>
      <c r="AJ159">
        <v>0.111752540718057</v>
      </c>
      <c r="AK159">
        <v>9.1891891891891897E-2</v>
      </c>
      <c r="AL159">
        <v>1.62162162162162E-3</v>
      </c>
      <c r="AM159">
        <v>1.08306471609223E-2</v>
      </c>
      <c r="AN159">
        <v>5.4054054054053996E-3</v>
      </c>
      <c r="AO159">
        <v>7.3075045488838501E-3</v>
      </c>
      <c r="AP159">
        <v>1.7858252341010901E-3</v>
      </c>
      <c r="AQ159">
        <v>2.5423588726341002E-3</v>
      </c>
    </row>
    <row r="160" spans="1:43" x14ac:dyDescent="0.4">
      <c r="A160" t="s">
        <v>180</v>
      </c>
      <c r="B160" t="s">
        <v>185</v>
      </c>
      <c r="C160" s="4">
        <f>K160*1.9+G160*2.6+H160*5.2+I160*7.8+J160*10.4+L160*1.9+S160*4.2+M160*2.6+P160*2.6</f>
        <v>847.55837948765668</v>
      </c>
      <c r="D160" s="2">
        <f>E160-M160-P160-Q160-R160</f>
        <v>409.40206864667584</v>
      </c>
      <c r="E160">
        <v>457</v>
      </c>
      <c r="F160" s="2">
        <f>AD160+J160</f>
        <v>92.65880024947171</v>
      </c>
      <c r="G160" s="2">
        <f>$AD160*AF160</f>
        <v>49.963768941001817</v>
      </c>
      <c r="H160" s="2">
        <f>$AD160*AG160</f>
        <v>15.295031308469945</v>
      </c>
      <c r="I160" s="2">
        <f>$AD160*AH160</f>
        <v>0</v>
      </c>
      <c r="J160" s="2">
        <f>$E160*AI160</f>
        <v>27.399999999999952</v>
      </c>
      <c r="K160" s="2">
        <f>$E160*AJ160</f>
        <v>54.296734693877085</v>
      </c>
      <c r="L160" s="2">
        <f>$E160*AK160</f>
        <v>69.999999999999659</v>
      </c>
      <c r="M160" s="2">
        <f>$E160*(AB160/100)</f>
        <v>42.090204080596955</v>
      </c>
      <c r="N160" s="2">
        <f>$E160*AL160</f>
        <v>1.9865306122448765</v>
      </c>
      <c r="O160" s="2">
        <f>$E160*(AA160/100)</f>
        <v>136.1673469509</v>
      </c>
      <c r="P160" s="2">
        <f>$E160*AM160</f>
        <v>2.9077272727272399</v>
      </c>
      <c r="Q160" s="2">
        <f>$E160*AN160</f>
        <v>2.5999999999999703</v>
      </c>
      <c r="R160" s="2">
        <f>$E160*AQ160</f>
        <v>0</v>
      </c>
      <c r="S160" s="2">
        <f>$E160*AO160</f>
        <v>0</v>
      </c>
      <c r="T160" s="2">
        <f>$E160*AP160</f>
        <v>0</v>
      </c>
      <c r="U160" s="2">
        <f>S160-T160</f>
        <v>0</v>
      </c>
      <c r="V160" s="1">
        <f>F160/D160</f>
        <v>0.22632714230234766</v>
      </c>
      <c r="W160" s="1">
        <f>(F160+M160+N160+P160)/(D160+M160+N160+Q160)</f>
        <v>0.30618231146139563</v>
      </c>
      <c r="X160" s="1">
        <f>(G160+H160*2+I160*3+J160*4)/D160</f>
        <v>0.46446719770253286</v>
      </c>
      <c r="Y160" s="1">
        <f>W160+X160</f>
        <v>0.77064950916392849</v>
      </c>
      <c r="Z160">
        <v>0.26267986939999999</v>
      </c>
      <c r="AA160">
        <v>29.795918369999999</v>
      </c>
      <c r="AB160">
        <v>9.2101103020999897</v>
      </c>
      <c r="AD160" s="2">
        <f>(D160-O160-J160+Q160)*Z160</f>
        <v>65.258800249471761</v>
      </c>
      <c r="AE160">
        <v>0.20046848</v>
      </c>
      <c r="AF160">
        <v>0.765625</v>
      </c>
      <c r="AG160">
        <v>0.234375</v>
      </c>
      <c r="AH160">
        <v>0</v>
      </c>
      <c r="AI160">
        <v>5.9956236323851102E-2</v>
      </c>
      <c r="AJ160">
        <v>0.118811235653998</v>
      </c>
      <c r="AK160">
        <v>0.15317286652078699</v>
      </c>
      <c r="AL160">
        <v>4.3468941186977604E-3</v>
      </c>
      <c r="AM160">
        <v>6.3626417346329097E-3</v>
      </c>
      <c r="AN160">
        <v>5.6892778993434803E-3</v>
      </c>
      <c r="AO160">
        <v>0</v>
      </c>
      <c r="AP160">
        <v>0</v>
      </c>
      <c r="AQ160">
        <v>0</v>
      </c>
    </row>
    <row r="161" spans="1:43" x14ac:dyDescent="0.4">
      <c r="A161" t="s">
        <v>61</v>
      </c>
      <c r="B161" s="3" t="s">
        <v>71</v>
      </c>
      <c r="C161" s="4">
        <f>K161*1.9+G161*2.6+H161*5.2+I161*7.8+J161*10.4+L161*1.9+S161*4.2+M161*2.6+P161*2.6</f>
        <v>847.391162866993</v>
      </c>
      <c r="D161" s="2">
        <f>E161-M161-P161-Q161-R161</f>
        <v>411.81829988339342</v>
      </c>
      <c r="E161">
        <v>466</v>
      </c>
      <c r="F161" s="2">
        <f>AD161+J161</f>
        <v>97.791437524609719</v>
      </c>
      <c r="G161" s="2">
        <f>$AD161*AF161</f>
        <v>56.654974249142654</v>
      </c>
      <c r="H161" s="2">
        <f>$AD161*AG161</f>
        <v>23.285038288325314</v>
      </c>
      <c r="I161" s="2">
        <f>$AD161*AH161</f>
        <v>1.3756406373559844</v>
      </c>
      <c r="J161" s="2">
        <f>$E161*AI161</f>
        <v>16.79999999999993</v>
      </c>
      <c r="K161" s="2">
        <f>$E161*AJ161</f>
        <v>59.243697478991542</v>
      </c>
      <c r="L161" s="2">
        <f>$E161*AK161</f>
        <v>57.999999999999666</v>
      </c>
      <c r="M161" s="2">
        <f>$E161*(AB161/100)</f>
        <v>47.292857141399999</v>
      </c>
      <c r="N161" s="2">
        <f>$E161*AL161</f>
        <v>0.89999999999999336</v>
      </c>
      <c r="O161" s="2">
        <f>$E161*(AA161/100)</f>
        <v>125.31092435800001</v>
      </c>
      <c r="P161" s="2">
        <f>$E161*AM161</f>
        <v>3.8888429752065838</v>
      </c>
      <c r="Q161" s="2">
        <f>$E161*AN161</f>
        <v>2.9999999999999778</v>
      </c>
      <c r="R161" s="2">
        <f>$E161*AQ161</f>
        <v>0</v>
      </c>
      <c r="S161" s="2">
        <f>$E161*AO161</f>
        <v>8.9810924369747678</v>
      </c>
      <c r="T161" s="2">
        <f>$E161*AP161</f>
        <v>2.993697478991574</v>
      </c>
      <c r="U161" s="2">
        <f>S161-T161</f>
        <v>5.9873949579831933</v>
      </c>
      <c r="V161" s="1">
        <f>F161/D161</f>
        <v>0.23746258374700546</v>
      </c>
      <c r="W161" s="1">
        <f>(F161+M161+N161+P161)/(D161+M161+N161+Q161)</f>
        <v>0.32369228120606797</v>
      </c>
      <c r="X161" s="1">
        <f>(G161+H161*2+I161*3+J161*4)/D161</f>
        <v>0.42385676592634536</v>
      </c>
      <c r="Y161" s="1">
        <f>W161+X161</f>
        <v>0.74754904713241332</v>
      </c>
      <c r="Z161">
        <v>0.29699027160000002</v>
      </c>
      <c r="AA161">
        <v>26.8907563</v>
      </c>
      <c r="AB161">
        <v>10.148681789999999</v>
      </c>
      <c r="AD161" s="2">
        <f>(D161-O161-J161+Q161)*Z161</f>
        <v>80.991437524609793</v>
      </c>
      <c r="AE161">
        <v>0.212991718</v>
      </c>
      <c r="AF161">
        <v>0.69951807228915597</v>
      </c>
      <c r="AG161">
        <v>0.28749999999999998</v>
      </c>
      <c r="AH161">
        <v>1.69850132236261E-2</v>
      </c>
      <c r="AI161">
        <v>3.60515021459226E-2</v>
      </c>
      <c r="AJ161">
        <v>0.127132398023587</v>
      </c>
      <c r="AK161">
        <v>0.124463519313304</v>
      </c>
      <c r="AL161">
        <v>1.9313304721029899E-3</v>
      </c>
      <c r="AM161">
        <v>8.3451565991557591E-3</v>
      </c>
      <c r="AN161">
        <v>6.4377682403432999E-3</v>
      </c>
      <c r="AO161">
        <v>1.9272730551448E-2</v>
      </c>
      <c r="AP161">
        <v>6.4242435171493004E-3</v>
      </c>
      <c r="AQ161">
        <v>0</v>
      </c>
    </row>
    <row r="162" spans="1:43" x14ac:dyDescent="0.4">
      <c r="A162" t="s">
        <v>162</v>
      </c>
      <c r="B162" t="s">
        <v>170</v>
      </c>
      <c r="C162" s="4">
        <f>K162*1.9+G162*2.6+H162*5.2+I162*7.8+J162*10.4+L162*1.9+S162*4.2+M162*2.6+P162*2.6</f>
        <v>845.87720613386705</v>
      </c>
      <c r="D162" s="2">
        <f>E162-M162-P162-Q162-R162</f>
        <v>415.51112967806569</v>
      </c>
      <c r="E162">
        <v>473</v>
      </c>
      <c r="F162" s="2">
        <f>AD162+J162</f>
        <v>101.26896937666784</v>
      </c>
      <c r="G162" s="2">
        <f>$AD162*AF162</f>
        <v>62.207967678011805</v>
      </c>
      <c r="H162" s="2">
        <f>$AD162*AG162</f>
        <v>21.655497956313983</v>
      </c>
      <c r="I162" s="2">
        <f>$AD162*AH162</f>
        <v>0.99857224968325864</v>
      </c>
      <c r="J162" s="2">
        <f>$E162*AI162</f>
        <v>17.599999999999955</v>
      </c>
      <c r="K162" s="2">
        <f>$E162*AJ162</f>
        <v>58.501918976545674</v>
      </c>
      <c r="L162" s="2">
        <f>$E162*AK162</f>
        <v>58.999999999999915</v>
      </c>
      <c r="M162" s="2">
        <f>$E162*(AB162/100)</f>
        <v>49.14264390684</v>
      </c>
      <c r="N162" s="2">
        <f>$E162*AL162</f>
        <v>1.9008528784647933</v>
      </c>
      <c r="O162" s="2">
        <f>$E162*(AA162/100)</f>
        <v>127.0746268572</v>
      </c>
      <c r="P162" s="2">
        <f>$E162*AM162</f>
        <v>4.9462264150942916</v>
      </c>
      <c r="Q162" s="2">
        <f>$E162*AN162</f>
        <v>3.3999999999999861</v>
      </c>
      <c r="R162" s="2">
        <f>$E162*AQ162</f>
        <v>0</v>
      </c>
      <c r="S162" s="2">
        <f>$E162*AO162</f>
        <v>4.0034115138592661</v>
      </c>
      <c r="T162" s="2">
        <f>$E162*AP162</f>
        <v>1.0008528784647845</v>
      </c>
      <c r="U162" s="2">
        <f>S162-T162</f>
        <v>3.0025586353944815</v>
      </c>
      <c r="V162" s="1">
        <f>F162/D162</f>
        <v>0.2437214364272989</v>
      </c>
      <c r="W162" s="1">
        <f>(F162+M162+N162+P162)/(D162+M162+N162+Q162)</f>
        <v>0.33462526746573928</v>
      </c>
      <c r="X162" s="1">
        <f>(G162+H162*2+I162*3+J162*4)/D162</f>
        <v>0.43058938151262244</v>
      </c>
      <c r="Y162" s="1">
        <f>W162+X162</f>
        <v>0.76521464897836178</v>
      </c>
      <c r="Z162">
        <v>0.30509785719999999</v>
      </c>
      <c r="AA162">
        <v>26.865671639999999</v>
      </c>
      <c r="AB162">
        <v>10.389565308</v>
      </c>
      <c r="AD162" s="2">
        <f>(D162-O162-J162+Q162)*Z162</f>
        <v>83.668969376667889</v>
      </c>
      <c r="AE162">
        <v>0.215118432</v>
      </c>
      <c r="AF162">
        <v>0.74350106307583197</v>
      </c>
      <c r="AG162">
        <v>0.25882352941176401</v>
      </c>
      <c r="AH162">
        <v>1.19347980155917E-2</v>
      </c>
      <c r="AI162">
        <v>3.7209302325581298E-2</v>
      </c>
      <c r="AJ162">
        <v>0.123682703967327</v>
      </c>
      <c r="AK162">
        <v>0.12473572938689199</v>
      </c>
      <c r="AL162">
        <v>4.0187164449572797E-3</v>
      </c>
      <c r="AM162">
        <v>1.04571382982966E-2</v>
      </c>
      <c r="AN162">
        <v>7.1881606765327403E-3</v>
      </c>
      <c r="AO162">
        <v>8.4638721223240301E-3</v>
      </c>
      <c r="AP162">
        <v>2.1159680305809399E-3</v>
      </c>
      <c r="AQ162">
        <v>0</v>
      </c>
    </row>
    <row r="163" spans="1:43" x14ac:dyDescent="0.4">
      <c r="A163" t="s">
        <v>84</v>
      </c>
      <c r="B163" t="s">
        <v>88</v>
      </c>
      <c r="C163" s="4">
        <f>K163*1.9+G163*2.6+H163*5.2+I163*7.8+J163*10.4+L163*1.9+S163*4.2+M163*2.6+P163*2.6</f>
        <v>842.30730886358197</v>
      </c>
      <c r="D163" s="2">
        <f>E163-M163-P163-Q163-R163</f>
        <v>449.75711166054464</v>
      </c>
      <c r="E163">
        <v>496</v>
      </c>
      <c r="F163" s="2">
        <f>AD163+J163</f>
        <v>108.07482934061206</v>
      </c>
      <c r="G163" s="2">
        <f>$AD163*AF163</f>
        <v>64.867954486226239</v>
      </c>
      <c r="H163" s="2">
        <f>$AD163*AG163</f>
        <v>22.968363459715082</v>
      </c>
      <c r="I163" s="2">
        <f>$AD163*AH163</f>
        <v>2.0241781964497267</v>
      </c>
      <c r="J163" s="2">
        <f>$E163*AI163</f>
        <v>17.199999999999942</v>
      </c>
      <c r="K163" s="2">
        <f>$E163*AJ163</f>
        <v>57.082706766916878</v>
      </c>
      <c r="L163" s="2">
        <f>$E163*AK163</f>
        <v>62</v>
      </c>
      <c r="M163" s="2">
        <f>$E163*(AB163/100)</f>
        <v>37.122556389248004</v>
      </c>
      <c r="N163" s="2">
        <f>$E163*AL163</f>
        <v>0.99323308270673794</v>
      </c>
      <c r="O163" s="2">
        <f>$E163*(AA163/100)</f>
        <v>118.406015032</v>
      </c>
      <c r="P163" s="2">
        <f>$E163*AM163</f>
        <v>6.1203319502074205</v>
      </c>
      <c r="Q163" s="2">
        <f>$E163*AN163</f>
        <v>2.9999999999999534</v>
      </c>
      <c r="R163" s="2">
        <f>$E163*AQ163</f>
        <v>0</v>
      </c>
      <c r="S163" s="2">
        <f>$E163*AO163</f>
        <v>4.9661654135338145</v>
      </c>
      <c r="T163" s="2">
        <f>$E163*AP163</f>
        <v>1.9864661654135207</v>
      </c>
      <c r="U163" s="2">
        <f>S163-T163</f>
        <v>2.9796992481202937</v>
      </c>
      <c r="V163" s="1">
        <f>F163/D163</f>
        <v>0.24029598763116794</v>
      </c>
      <c r="W163" s="1">
        <f>(F163+M163+N163+P163)/(D163+M163+N163+Q163)</f>
        <v>0.31028592210198536</v>
      </c>
      <c r="X163" s="1">
        <f>(G163+H163*2+I163*3+J163*4)/D163</f>
        <v>0.41283886609256265</v>
      </c>
      <c r="Y163" s="1">
        <f>W163+X163</f>
        <v>0.72312478819454795</v>
      </c>
      <c r="Z163">
        <v>0.28653481040000001</v>
      </c>
      <c r="AA163">
        <v>23.872180449999998</v>
      </c>
      <c r="AB163">
        <v>7.4843863688000001</v>
      </c>
      <c r="AD163" s="2">
        <f>(D163-O163-J163+Q163)*Z163</f>
        <v>90.874829340612109</v>
      </c>
      <c r="AE163">
        <v>0.21437583700000001</v>
      </c>
      <c r="AF163">
        <v>0.71381652055809297</v>
      </c>
      <c r="AG163">
        <v>0.25274725274725202</v>
      </c>
      <c r="AH163">
        <v>2.22743548586244E-2</v>
      </c>
      <c r="AI163">
        <v>3.4677419354838597E-2</v>
      </c>
      <c r="AJ163">
        <v>0.115086102352655</v>
      </c>
      <c r="AK163">
        <v>0.125</v>
      </c>
      <c r="AL163">
        <v>2.0024860538442298E-3</v>
      </c>
      <c r="AM163">
        <v>1.23393789318698E-2</v>
      </c>
      <c r="AN163">
        <v>6.0483870967740997E-3</v>
      </c>
      <c r="AO163">
        <v>1.00124302692214E-2</v>
      </c>
      <c r="AP163">
        <v>4.0049721076885498E-3</v>
      </c>
      <c r="AQ163">
        <v>0</v>
      </c>
    </row>
    <row r="164" spans="1:43" x14ac:dyDescent="0.4">
      <c r="A164" t="s">
        <v>248</v>
      </c>
      <c r="B164" s="3" t="s">
        <v>254</v>
      </c>
      <c r="C164" s="4">
        <f>K164*1.9+G164*2.6+H164*5.2+I164*7.8+J164*10.4+L164*1.9+S164*4.2+M164*2.6+P164*2.6</f>
        <v>841.74238194949726</v>
      </c>
      <c r="D164" s="2">
        <f>E164-M164-P164-Q164-R164</f>
        <v>465.29401436712385</v>
      </c>
      <c r="E164">
        <v>504</v>
      </c>
      <c r="F164" s="2">
        <f>AD164+J164</f>
        <v>113.29051881851508</v>
      </c>
      <c r="G164" s="2">
        <f>$AD164*AF164</f>
        <v>71.866349349936655</v>
      </c>
      <c r="H164" s="2">
        <f>$AD164*AG164</f>
        <v>21.020009423040154</v>
      </c>
      <c r="I164" s="2">
        <f>$AD164*AH164</f>
        <v>1.9771398161288563</v>
      </c>
      <c r="J164" s="2">
        <f>$E164*AI164</f>
        <v>18.199999999999942</v>
      </c>
      <c r="K164" s="2">
        <f>$E164*AJ164</f>
        <v>57.657142857142588</v>
      </c>
      <c r="L164" s="2">
        <f>$E164*AK164</f>
        <v>61.999999999999993</v>
      </c>
      <c r="M164" s="2">
        <f>$E164*(AB164/100)</f>
        <v>29.742857141256</v>
      </c>
      <c r="N164" s="2">
        <f>$E164*AL164</f>
        <v>0.39999999999998304</v>
      </c>
      <c r="O164" s="2">
        <f>$E164*(AA164/100)</f>
        <v>137.9999999952</v>
      </c>
      <c r="P164" s="2">
        <f>$E164*AM164</f>
        <v>5.9631284916201093</v>
      </c>
      <c r="Q164" s="2">
        <f>$E164*AN164</f>
        <v>2.9999999999999738</v>
      </c>
      <c r="R164" s="2">
        <f>$E164*AQ164</f>
        <v>0</v>
      </c>
      <c r="S164" s="2">
        <f>$E164*AO164</f>
        <v>4.9285714285714128</v>
      </c>
      <c r="T164" s="2">
        <f>$E164*AP164</f>
        <v>1.071428571428529</v>
      </c>
      <c r="U164" s="2">
        <f>S164-T164</f>
        <v>3.8571428571428839</v>
      </c>
      <c r="V164" s="1">
        <f>F164/D164</f>
        <v>0.24348157362954423</v>
      </c>
      <c r="W164" s="1">
        <f>(F164+M164+N164+P164)/(D164+M164+N164+Q164)</f>
        <v>0.29973004203979614</v>
      </c>
      <c r="X164" s="1">
        <f>(G164+H164*2+I164*3+J164*4)/D164</f>
        <v>0.41401303626573033</v>
      </c>
      <c r="Y164" s="1">
        <f>W164+X164</f>
        <v>0.71374307830552652</v>
      </c>
      <c r="Z164">
        <v>0.30468549360000002</v>
      </c>
      <c r="AA164">
        <v>27.38095238</v>
      </c>
      <c r="AB164">
        <v>5.9013605439000001</v>
      </c>
      <c r="AD164" s="2">
        <f>(D164-O164-J164+Q164)*Z164</f>
        <v>95.090518818515136</v>
      </c>
      <c r="AE164">
        <v>0.22815690899999999</v>
      </c>
      <c r="AF164">
        <v>0.75576776994031403</v>
      </c>
      <c r="AG164">
        <v>0.221052631578947</v>
      </c>
      <c r="AH164">
        <v>2.0792186652197401E-2</v>
      </c>
      <c r="AI164">
        <v>3.6111111111110997E-2</v>
      </c>
      <c r="AJ164">
        <v>0.114399092970521</v>
      </c>
      <c r="AK164">
        <v>0.123015873015873</v>
      </c>
      <c r="AL164">
        <v>7.9365079365076004E-4</v>
      </c>
      <c r="AM164">
        <v>1.18316041500399E-2</v>
      </c>
      <c r="AN164">
        <v>5.9523809523809E-3</v>
      </c>
      <c r="AO164">
        <v>9.7789115646258196E-3</v>
      </c>
      <c r="AP164">
        <v>2.12585034013597E-3</v>
      </c>
      <c r="AQ164">
        <v>0</v>
      </c>
    </row>
    <row r="165" spans="1:43" x14ac:dyDescent="0.4">
      <c r="A165" t="s">
        <v>248</v>
      </c>
      <c r="B165" t="s">
        <v>253</v>
      </c>
      <c r="C165" s="4">
        <f>K165*1.9+G165*2.6+H165*5.2+I165*7.8+J165*10.4+L165*1.9+S165*4.2+M165*2.6+P165*2.6</f>
        <v>831.88276106781734</v>
      </c>
      <c r="D165" s="2">
        <f>E165-M165-P165-Q165-R165</f>
        <v>367.29142857829009</v>
      </c>
      <c r="E165">
        <v>429</v>
      </c>
      <c r="F165" s="2">
        <f>AD165+J165</f>
        <v>86.870334092930563</v>
      </c>
      <c r="G165" s="2">
        <f>$AD165*AF165</f>
        <v>49.067078717923664</v>
      </c>
      <c r="H165" s="2">
        <f>$AD165*AG165</f>
        <v>15.730229037117702</v>
      </c>
      <c r="I165" s="2">
        <f>$AD165*AH165</f>
        <v>1.9157171791632603</v>
      </c>
      <c r="J165" s="2">
        <f>$E165*AI165</f>
        <v>20.999999999999979</v>
      </c>
      <c r="K165" s="2">
        <f>$E165*AJ165</f>
        <v>57.30857142857117</v>
      </c>
      <c r="L165" s="2">
        <f>$E165*AK165</f>
        <v>58.99999999999978</v>
      </c>
      <c r="M165" s="2">
        <f>$E165*(AB165/100)</f>
        <v>48.908571421710008</v>
      </c>
      <c r="N165" s="2">
        <f>$E165*AL165</f>
        <v>2.9828571428571031</v>
      </c>
      <c r="O165" s="2">
        <f>$E165*(AA165/100)</f>
        <v>103.7142857322</v>
      </c>
      <c r="P165" s="2">
        <f>$E165*AM165</f>
        <v>9.1999999999999389</v>
      </c>
      <c r="Q165" s="2">
        <f>$E165*AN165</f>
        <v>3.5999999999999779</v>
      </c>
      <c r="R165" s="2">
        <f>$E165*AQ165</f>
        <v>0</v>
      </c>
      <c r="S165" s="2">
        <f>$E165*AO165</f>
        <v>4.0714285714285587</v>
      </c>
      <c r="T165" s="2">
        <f>$E165*AP165</f>
        <v>1.9885714285714007</v>
      </c>
      <c r="U165" s="2">
        <f>S165-T165</f>
        <v>2.0828571428571578</v>
      </c>
      <c r="V165" s="1">
        <f>F165/D165</f>
        <v>0.2365160941250054</v>
      </c>
      <c r="W165" s="1">
        <f>(F165+M165+N165+P165)/(D165+M165+N165+Q165)</f>
        <v>0.34997105525378891</v>
      </c>
      <c r="X165" s="1">
        <f>(G165+H165*2+I165*3+J165*4)/D165</f>
        <v>0.46359559488972346</v>
      </c>
      <c r="Y165" s="1">
        <f>W165+X165</f>
        <v>0.81356665014351237</v>
      </c>
      <c r="Z165">
        <v>0.26757290839999998</v>
      </c>
      <c r="AA165">
        <v>24.175824179999999</v>
      </c>
      <c r="AB165">
        <v>11.400599399000001</v>
      </c>
      <c r="AD165" s="2">
        <f>(D165-O165-J165+Q165)*Z165</f>
        <v>65.870334092930577</v>
      </c>
      <c r="AE165">
        <v>0.211035631</v>
      </c>
      <c r="AF165">
        <v>0.74490405117270697</v>
      </c>
      <c r="AG165">
        <v>0.23880597014925301</v>
      </c>
      <c r="AH165">
        <v>2.90831556503197E-2</v>
      </c>
      <c r="AI165">
        <v>4.8951048951048903E-2</v>
      </c>
      <c r="AJ165">
        <v>0.13358641358641299</v>
      </c>
      <c r="AK165">
        <v>0.13752913752913701</v>
      </c>
      <c r="AL165">
        <v>6.9530469530468602E-3</v>
      </c>
      <c r="AM165">
        <v>2.1445221445221301E-2</v>
      </c>
      <c r="AN165">
        <v>8.3916083916083396E-3</v>
      </c>
      <c r="AO165">
        <v>9.4905094905094606E-3</v>
      </c>
      <c r="AP165">
        <v>4.6353646353645703E-3</v>
      </c>
      <c r="AQ165">
        <v>0</v>
      </c>
    </row>
    <row r="166" spans="1:43" x14ac:dyDescent="0.4">
      <c r="A166" t="s">
        <v>122</v>
      </c>
      <c r="B166" t="s">
        <v>126</v>
      </c>
      <c r="C166" s="4">
        <f>K166*1.9+G166*2.6+H166*5.2+I166*7.8+J166*10.4+L166*1.9+S166*4.2+M166*2.6+P166*2.6</f>
        <v>827.53050631252665</v>
      </c>
      <c r="D166" s="2">
        <f>E166-M166-P166-Q166-R166</f>
        <v>423.76126428969962</v>
      </c>
      <c r="E166">
        <v>478</v>
      </c>
      <c r="F166" s="2">
        <f>AD166+J166</f>
        <v>96.807181271174784</v>
      </c>
      <c r="G166" s="2">
        <f>$AD166*AF166</f>
        <v>54.678021345599198</v>
      </c>
      <c r="H166" s="2">
        <f>$AD166*AG166</f>
        <v>23.235002142240759</v>
      </c>
      <c r="I166" s="2">
        <f>$AD166*AH166</f>
        <v>3.0234643673887316</v>
      </c>
      <c r="J166" s="2">
        <f>$E166*AI166</f>
        <v>16.999999999999975</v>
      </c>
      <c r="K166" s="2">
        <f>$E166*AJ166</f>
        <v>56.373809523809186</v>
      </c>
      <c r="L166" s="2">
        <f>$E166*AK166</f>
        <v>54.999999999999929</v>
      </c>
      <c r="M166" s="2">
        <f>$E166*(AB166/100)</f>
        <v>47.752380934472001</v>
      </c>
      <c r="N166" s="2">
        <f>$E166*AL166</f>
        <v>1.3948412698412529</v>
      </c>
      <c r="O166" s="2">
        <f>$E166*(AA166/100)</f>
        <v>117.603174588</v>
      </c>
      <c r="P166" s="2">
        <f>$E166*AM166</f>
        <v>2.8863547758284307</v>
      </c>
      <c r="Q166" s="2">
        <f>$E166*AN166</f>
        <v>3.5999999999999637</v>
      </c>
      <c r="R166" s="2">
        <f>$E166*AQ166</f>
        <v>0</v>
      </c>
      <c r="S166" s="2">
        <f>$E166*AO166</f>
        <v>4.974206349206308</v>
      </c>
      <c r="T166" s="2">
        <f>$E166*AP166</f>
        <v>2.9845238095237803</v>
      </c>
      <c r="U166" s="2">
        <f>S166-T166</f>
        <v>1.9896825396825277</v>
      </c>
      <c r="V166" s="1">
        <f>F166/D166</f>
        <v>0.22844745244339662</v>
      </c>
      <c r="W166" s="1">
        <f>(F166+M166+N166+P166)/(D166+M166+N166+Q166)</f>
        <v>0.31235699356885771</v>
      </c>
      <c r="X166" s="1">
        <f>(G166+H166*2+I166*3+J166*4)/D166</f>
        <v>0.42056325990761106</v>
      </c>
      <c r="Y166" s="1">
        <f>W166+X166</f>
        <v>0.73292025347646872</v>
      </c>
      <c r="Z166">
        <v>0.27260452940000002</v>
      </c>
      <c r="AA166">
        <v>24.603174599999999</v>
      </c>
      <c r="AB166">
        <v>9.9900378524000004</v>
      </c>
      <c r="AD166" s="2">
        <f>(D166-O166-J166+Q166)*Z166</f>
        <v>79.807181271174812</v>
      </c>
      <c r="AE166">
        <v>0.20378070200000001</v>
      </c>
      <c r="AF166">
        <v>0.685126582278481</v>
      </c>
      <c r="AG166">
        <v>0.291139240506329</v>
      </c>
      <c r="AH166">
        <v>3.7884615384615301E-2</v>
      </c>
      <c r="AI166">
        <v>3.5564853556485303E-2</v>
      </c>
      <c r="AJ166">
        <v>0.117936840007969</v>
      </c>
      <c r="AK166">
        <v>0.11506276150627601</v>
      </c>
      <c r="AL166">
        <v>2.91807797037919E-3</v>
      </c>
      <c r="AM166">
        <v>6.03839911261178E-3</v>
      </c>
      <c r="AN166">
        <v>7.5313807531379997E-3</v>
      </c>
      <c r="AO166">
        <v>1.0406289433486E-2</v>
      </c>
      <c r="AP166">
        <v>6.2437736600915901E-3</v>
      </c>
      <c r="AQ166">
        <v>0</v>
      </c>
    </row>
    <row r="167" spans="1:43" x14ac:dyDescent="0.4">
      <c r="A167" t="s">
        <v>61</v>
      </c>
      <c r="B167" t="s">
        <v>69</v>
      </c>
      <c r="C167" s="4">
        <f>K167*1.9+G167*2.6+H167*5.2+I167*7.8+J167*10.4+L167*1.9+S167*4.2+M167*2.6+P167*2.6</f>
        <v>827.2296105648154</v>
      </c>
      <c r="D167" s="2">
        <f>E167-M167-P167-Q167-R167</f>
        <v>425.05002013852663</v>
      </c>
      <c r="E167">
        <v>470</v>
      </c>
      <c r="F167" s="2">
        <f>AD167+J167</f>
        <v>98.385612859891836</v>
      </c>
      <c r="G167" s="2">
        <f>$AD167*AF167</f>
        <v>61.809449430587321</v>
      </c>
      <c r="H167" s="2">
        <f>$AD167*AG167</f>
        <v>20.068003061879001</v>
      </c>
      <c r="I167" s="2">
        <f>$AD167*AH167</f>
        <v>1.013189422880229</v>
      </c>
      <c r="J167" s="2">
        <f>$E167*AI167</f>
        <v>14.1</v>
      </c>
      <c r="K167" s="2">
        <f>$E167*AJ167</f>
        <v>55.087684729063838</v>
      </c>
      <c r="L167" s="2">
        <f>$E167*AK167</f>
        <v>52.999999999999758</v>
      </c>
      <c r="M167" s="2">
        <f>$E167*(AB167/100)</f>
        <v>36.258784892920005</v>
      </c>
      <c r="N167" s="2">
        <f>$E167*AL167</f>
        <v>2.6087027914613818</v>
      </c>
      <c r="O167" s="2">
        <f>$E167*(AA167/100)</f>
        <v>135.82922826000001</v>
      </c>
      <c r="P167" s="2">
        <f>$E167*AM167</f>
        <v>5.0911949685534079</v>
      </c>
      <c r="Q167" s="2">
        <f>$E167*AN167</f>
        <v>3.5999999999999783</v>
      </c>
      <c r="R167" s="2">
        <f>$E167*AQ167</f>
        <v>0</v>
      </c>
      <c r="S167" s="2">
        <f>$E167*AO167</f>
        <v>22.56</v>
      </c>
      <c r="T167" s="2">
        <f>$E167*AP167</f>
        <v>6.58</v>
      </c>
      <c r="U167" s="2">
        <f>S167-T167</f>
        <v>15.979999999999999</v>
      </c>
      <c r="V167" s="1">
        <f>F167/D167</f>
        <v>0.23146831713553928</v>
      </c>
      <c r="W167" s="1">
        <f>(F167+M167+N167+P167)/(D167+M167+N167+Q167)</f>
        <v>0.30446837419133732</v>
      </c>
      <c r="X167" s="1">
        <f>(G167+H167*2+I167*3+J167*4)/D167</f>
        <v>0.37968478102974695</v>
      </c>
      <c r="Y167" s="1">
        <f>W167+X167</f>
        <v>0.68415315522108422</v>
      </c>
      <c r="Z167">
        <v>0.30240159799999999</v>
      </c>
      <c r="AA167">
        <v>28.899835800000002</v>
      </c>
      <c r="AB167">
        <v>7.7146350836000002</v>
      </c>
      <c r="AD167" s="2">
        <f>(D167-O167-J167+Q167)*Z167</f>
        <v>84.285612859891842</v>
      </c>
      <c r="AE167">
        <v>0.20632213399999999</v>
      </c>
      <c r="AF167">
        <v>0.73333333333333295</v>
      </c>
      <c r="AG167">
        <v>0.238095238095238</v>
      </c>
      <c r="AH167">
        <v>1.2020905923344901E-2</v>
      </c>
      <c r="AI167">
        <v>0.03</v>
      </c>
      <c r="AJ167">
        <v>0.117207839849072</v>
      </c>
      <c r="AK167">
        <v>0.11276595744680799</v>
      </c>
      <c r="AL167">
        <v>5.5504314711944296E-3</v>
      </c>
      <c r="AM167">
        <v>1.0832329720326399E-2</v>
      </c>
      <c r="AN167">
        <v>7.65957446808506E-3</v>
      </c>
      <c r="AO167">
        <v>4.8000000000000001E-2</v>
      </c>
      <c r="AP167">
        <v>1.4E-2</v>
      </c>
      <c r="AQ167">
        <v>0</v>
      </c>
    </row>
    <row r="168" spans="1:43" x14ac:dyDescent="0.4">
      <c r="A168" t="s">
        <v>199</v>
      </c>
      <c r="B168" t="s">
        <v>203</v>
      </c>
      <c r="C168" s="4">
        <f>K168*1.9+G168*2.6+H168*5.2+I168*7.8+J168*10.4+L168*1.9+S168*4.2+M168*2.6+P168*2.6</f>
        <v>825.05167640040872</v>
      </c>
      <c r="D168" s="2">
        <f>E168-M168-P168-Q168-R168</f>
        <v>480.62665399286601</v>
      </c>
      <c r="E168">
        <v>521</v>
      </c>
      <c r="F168" s="2">
        <f>AD168+J168</f>
        <v>119.62709375974804</v>
      </c>
      <c r="G168" s="2">
        <f>$AD168*AF168</f>
        <v>85.468606643365845</v>
      </c>
      <c r="H168" s="2">
        <f>$AD168*AG168</f>
        <v>22.045835437747311</v>
      </c>
      <c r="I168" s="2">
        <f>$AD168*AH168</f>
        <v>2.9789207389022123</v>
      </c>
      <c r="J168" s="2">
        <f>$E168*AI168</f>
        <v>10.399999999999949</v>
      </c>
      <c r="K168" s="2">
        <f>$E168*AJ168</f>
        <v>57.224489795917826</v>
      </c>
      <c r="L168" s="2">
        <f>$E168*AK168</f>
        <v>49.999999999999957</v>
      </c>
      <c r="M168" s="2">
        <f>$E168*(AB168/100)</f>
        <v>33.332823131316999</v>
      </c>
      <c r="N168" s="2">
        <f>$E168*AL168</f>
        <v>0.58860544217686706</v>
      </c>
      <c r="O168" s="2">
        <f>$E168*(AA168/100)</f>
        <v>101.89625850729999</v>
      </c>
      <c r="P168" s="2">
        <f>$E168*AM168</f>
        <v>3.0405228758169858</v>
      </c>
      <c r="Q168" s="2">
        <f>$E168*AN168</f>
        <v>3.9999999999999885</v>
      </c>
      <c r="R168" s="2">
        <f>$E168*AQ168</f>
        <v>0</v>
      </c>
      <c r="S168" s="2">
        <f>$E168*AO168</f>
        <v>13.929081632653013</v>
      </c>
      <c r="T168" s="2">
        <f>$E168*AP168</f>
        <v>3.9544217687074688</v>
      </c>
      <c r="U168" s="2">
        <f>S168-T168</f>
        <v>9.9746598639455435</v>
      </c>
      <c r="V168" s="1">
        <f>F168/D168</f>
        <v>0.24889816818507879</v>
      </c>
      <c r="W168" s="1">
        <f>(F168+M168+N168+P168)/(D168+M168+N168+Q168)</f>
        <v>0.30197594104307535</v>
      </c>
      <c r="X168" s="1">
        <f>(G168+H168*2+I168*3+J168*4)/D168</f>
        <v>0.37471296741324728</v>
      </c>
      <c r="Y168" s="1">
        <f>W168+X168</f>
        <v>0.67668890845632257</v>
      </c>
      <c r="Z168">
        <v>0.29336066859999999</v>
      </c>
      <c r="AA168">
        <v>19.557823129999999</v>
      </c>
      <c r="AB168">
        <v>6.3978547277000004</v>
      </c>
      <c r="AD168" s="2">
        <f>(D168-O168-J168+Q168)*Z168</f>
        <v>109.22709375974809</v>
      </c>
      <c r="AE168">
        <v>0.232167174</v>
      </c>
      <c r="AF168">
        <v>0.78248540450375303</v>
      </c>
      <c r="AG168">
        <v>0.201834862385321</v>
      </c>
      <c r="AH168">
        <v>2.7272727272727199E-2</v>
      </c>
      <c r="AI168">
        <v>1.9961612284069001E-2</v>
      </c>
      <c r="AJ168">
        <v>0.109835872928825</v>
      </c>
      <c r="AK168">
        <v>9.5969289827255194E-2</v>
      </c>
      <c r="AL168">
        <v>1.12976092548343E-3</v>
      </c>
      <c r="AM168">
        <v>5.8359364219136003E-3</v>
      </c>
      <c r="AN168">
        <v>7.6775431861804003E-3</v>
      </c>
      <c r="AO168">
        <v>2.6735281444631501E-2</v>
      </c>
      <c r="AP168">
        <v>7.5900609764058902E-3</v>
      </c>
      <c r="AQ168">
        <v>0</v>
      </c>
    </row>
    <row r="169" spans="1:43" x14ac:dyDescent="0.4">
      <c r="A169" t="s">
        <v>129</v>
      </c>
      <c r="B169" s="3" t="s">
        <v>130</v>
      </c>
      <c r="C169" s="4">
        <f>K169*1.9+G169*2.6+H169*5.2+I169*7.8+J169*10.4+L169*1.9+S169*4.2+M169*2.6+P169*2.6</f>
        <v>822.00586911040796</v>
      </c>
      <c r="D169" s="2">
        <f>E169-M169-P169-Q169-R169</f>
        <v>403.40307261120302</v>
      </c>
      <c r="E169">
        <v>444</v>
      </c>
      <c r="F169" s="2">
        <f>AD169+J169</f>
        <v>90.466171697799155</v>
      </c>
      <c r="G169" s="2">
        <f>$AD169*AF169</f>
        <v>50.93796175976231</v>
      </c>
      <c r="H169" s="2">
        <f>$AD169*AG169</f>
        <v>18.017015579434066</v>
      </c>
      <c r="I169" s="2">
        <f>$AD169*AH169</f>
        <v>2.0192983644583036</v>
      </c>
      <c r="J169" s="2">
        <f>$E169*AI169</f>
        <v>20.399999999999981</v>
      </c>
      <c r="K169" s="2">
        <f>$E169*AJ169</f>
        <v>55.893167701863099</v>
      </c>
      <c r="L169" s="2">
        <f>$E169*AK169</f>
        <v>56.999999999999837</v>
      </c>
      <c r="M169" s="2">
        <f>$E169*(AB169/100)</f>
        <v>32.109316769327997</v>
      </c>
      <c r="N169" s="2">
        <f>$E169*AL169</f>
        <v>0.99192546583848851</v>
      </c>
      <c r="O169" s="2">
        <f>$E169*(AA169/100)</f>
        <v>132.37267082400001</v>
      </c>
      <c r="P169" s="2">
        <f>$E169*AM169</f>
        <v>6.0876106194690074</v>
      </c>
      <c r="Q169" s="2">
        <f>$E169*AN169</f>
        <v>2.3999999999999884</v>
      </c>
      <c r="R169" s="2">
        <f>$E169*AQ169</f>
        <v>0</v>
      </c>
      <c r="S169" s="2">
        <f>$E169*AO169</f>
        <v>12.895031055900571</v>
      </c>
      <c r="T169" s="2">
        <f>$E169*AP169</f>
        <v>4.1515527950310522</v>
      </c>
      <c r="U169" s="2">
        <f>S169-T169</f>
        <v>8.7434782608695194</v>
      </c>
      <c r="V169" s="1">
        <f>F169/D169</f>
        <v>0.22425751770361402</v>
      </c>
      <c r="W169" s="1">
        <f>(F169+M169+N169+P169)/(D169+M169+N169+Q169)</f>
        <v>0.29540612877733502</v>
      </c>
      <c r="X169" s="1">
        <f>(G169+H169*2+I169*3+J169*4)/D169</f>
        <v>0.43289181433754792</v>
      </c>
      <c r="Y169" s="1">
        <f>W169+X169</f>
        <v>0.72829794311488294</v>
      </c>
      <c r="Z169">
        <v>0.27690811539999999</v>
      </c>
      <c r="AA169">
        <v>29.813664599999999</v>
      </c>
      <c r="AB169">
        <v>7.2318281011999996</v>
      </c>
      <c r="AD169" s="2">
        <f>(D169-O169-J169+Q169)*Z169</f>
        <v>70.066171697799177</v>
      </c>
      <c r="AE169">
        <v>0.20279554599999999</v>
      </c>
      <c r="AF169">
        <v>0.72699792960662502</v>
      </c>
      <c r="AG169">
        <v>0.25714285714285701</v>
      </c>
      <c r="AH169">
        <v>2.88198757763974E-2</v>
      </c>
      <c r="AI169">
        <v>4.59459459459459E-2</v>
      </c>
      <c r="AJ169">
        <v>0.125885512842034</v>
      </c>
      <c r="AK169">
        <v>0.12837837837837801</v>
      </c>
      <c r="AL169">
        <v>2.2340663645011001E-3</v>
      </c>
      <c r="AM169">
        <v>1.3710834728533801E-2</v>
      </c>
      <c r="AN169">
        <v>5.4054054054053797E-3</v>
      </c>
      <c r="AO169">
        <v>2.9042862738514801E-2</v>
      </c>
      <c r="AP169">
        <v>9.3503441329528206E-3</v>
      </c>
      <c r="AQ169">
        <v>0</v>
      </c>
    </row>
    <row r="170" spans="1:43" x14ac:dyDescent="0.4">
      <c r="A170" t="s">
        <v>72</v>
      </c>
      <c r="B170" s="3" t="s">
        <v>76</v>
      </c>
      <c r="C170" s="4">
        <f>K170*1.9+G170*2.6+H170*5.2+I170*7.8+J170*10.4+L170*1.9+S170*4.2+M170*2.6+P170*2.6</f>
        <v>818.79317017580865</v>
      </c>
      <c r="D170" s="2">
        <f>E170-M170-P170-Q170-R170</f>
        <v>430.77955367751548</v>
      </c>
      <c r="E170">
        <v>473</v>
      </c>
      <c r="F170" s="2">
        <f>AD170+J170</f>
        <v>105.70760370257959</v>
      </c>
      <c r="G170" s="2">
        <f>$AD170*AF170</f>
        <v>71.996196682952785</v>
      </c>
      <c r="H170" s="2">
        <f>$AD170*AG170</f>
        <v>18.021052898330751</v>
      </c>
      <c r="I170" s="2">
        <f>$AD170*AH170</f>
        <v>2.0155414474811857</v>
      </c>
      <c r="J170" s="2">
        <f>$E170*AI170</f>
        <v>13.599999999999962</v>
      </c>
      <c r="K170" s="2">
        <f>$E170*AJ170</f>
        <v>56.055999999999649</v>
      </c>
      <c r="L170" s="2">
        <f>$E170*AK170</f>
        <v>53.999999999999872</v>
      </c>
      <c r="M170" s="2">
        <f>$E170*(AB170/100)</f>
        <v>33.574095237672005</v>
      </c>
      <c r="N170" s="2">
        <f>$E170*AL170</f>
        <v>0.89999999999996627</v>
      </c>
      <c r="O170" s="2">
        <f>$E170*(AA170/100)</f>
        <v>101.8076190296</v>
      </c>
      <c r="P170" s="2">
        <f>$E170*AM170</f>
        <v>5.2463510848125425</v>
      </c>
      <c r="Q170" s="2">
        <f>$E170*AN170</f>
        <v>2.9999999999999822</v>
      </c>
      <c r="R170" s="2">
        <f>$E170*AQ170</f>
        <v>0.39999999999998498</v>
      </c>
      <c r="S170" s="2">
        <f>$E170*AO170</f>
        <v>16.831619047619</v>
      </c>
      <c r="T170" s="2">
        <f>$E170*AP170</f>
        <v>4.1405714285714206</v>
      </c>
      <c r="U170" s="2">
        <f>S170-T170</f>
        <v>12.69104761904758</v>
      </c>
      <c r="V170" s="1">
        <f>F170/D170</f>
        <v>0.24538677102978992</v>
      </c>
      <c r="W170" s="1">
        <f>(F170+M170+N170+P170)/(D170+M170+N170+Q170)</f>
        <v>0.31057536948613251</v>
      </c>
      <c r="X170" s="1">
        <f>(G170+H170*2+I170*3+J170*4)/D170</f>
        <v>0.39111635030892539</v>
      </c>
      <c r="Y170" s="1">
        <f>W170+X170</f>
        <v>0.70169171979505784</v>
      </c>
      <c r="Z170">
        <v>0.28930817599999997</v>
      </c>
      <c r="AA170">
        <v>21.52380952</v>
      </c>
      <c r="AB170">
        <v>7.0981173864000002</v>
      </c>
      <c r="AD170" s="2">
        <f>(D170-O170-J170+Q170)*Z170</f>
        <v>92.107603702579624</v>
      </c>
      <c r="AE170">
        <v>0.22435988700000001</v>
      </c>
      <c r="AF170">
        <v>0.78165312947921595</v>
      </c>
      <c r="AG170">
        <v>0.19565217391304299</v>
      </c>
      <c r="AH170">
        <v>2.1882465360726099E-2</v>
      </c>
      <c r="AI170">
        <v>2.8752642706130999E-2</v>
      </c>
      <c r="AJ170">
        <v>0.118511627906976</v>
      </c>
      <c r="AK170">
        <v>0.11416490486257901</v>
      </c>
      <c r="AL170">
        <v>1.90274841437625E-3</v>
      </c>
      <c r="AM170">
        <v>1.1091651342098399E-2</v>
      </c>
      <c r="AN170">
        <v>6.3424947145877004E-3</v>
      </c>
      <c r="AO170">
        <v>3.5584818282492603E-2</v>
      </c>
      <c r="AP170">
        <v>8.7538508003624105E-3</v>
      </c>
      <c r="AQ170">
        <v>8.45665961945E-4</v>
      </c>
    </row>
    <row r="171" spans="1:43" x14ac:dyDescent="0.4">
      <c r="A171" t="s">
        <v>229</v>
      </c>
      <c r="B171" s="3" t="s">
        <v>230</v>
      </c>
      <c r="C171" s="4">
        <f>K171*1.9+G171*2.6+H171*5.2+I171*7.8+J171*10.4+L171*1.9+S171*4.2+M171*2.6+P171*2.6</f>
        <v>814.55256047149885</v>
      </c>
      <c r="D171" s="2">
        <f>E171-M171-P171-Q171-R171</f>
        <v>444.21046768426436</v>
      </c>
      <c r="E171">
        <v>485</v>
      </c>
      <c r="F171" s="2">
        <f>AD171+J171</f>
        <v>116.27160617919239</v>
      </c>
      <c r="G171" s="2">
        <f>$AD171*AF171</f>
        <v>79.697325747269218</v>
      </c>
      <c r="H171" s="2">
        <f>$AD171*AG171</f>
        <v>20.132991322612355</v>
      </c>
      <c r="I171" s="2">
        <f>$AD171*AH171</f>
        <v>0.99097396466297694</v>
      </c>
      <c r="J171" s="2">
        <f>$E171*AI171</f>
        <v>14.599999999999973</v>
      </c>
      <c r="K171" s="2">
        <f>$E171*AJ171</f>
        <v>57.15451127819523</v>
      </c>
      <c r="L171" s="2">
        <f>$E171*AK171</f>
        <v>60.999999999999673</v>
      </c>
      <c r="M171" s="2">
        <f>$E171*(AB171/100)</f>
        <v>32.799624058854995</v>
      </c>
      <c r="N171" s="2">
        <f>$E171*AL171</f>
        <v>0.39999999999998198</v>
      </c>
      <c r="O171" s="2">
        <f>$E171*(AA171/100)</f>
        <v>66.550751873499991</v>
      </c>
      <c r="P171" s="2">
        <f>$E171*AM171</f>
        <v>3.055963302752259</v>
      </c>
      <c r="Q171" s="2">
        <f>$E171*AN171</f>
        <v>3.9999999999999658</v>
      </c>
      <c r="R171" s="2">
        <f>$E171*AQ171</f>
        <v>0.93394495412842204</v>
      </c>
      <c r="S171" s="2">
        <f>$E171*AO171</f>
        <v>6.0381578947367887</v>
      </c>
      <c r="T171" s="2">
        <f>$E171*AP171</f>
        <v>1.9823308270676319</v>
      </c>
      <c r="U171" s="2">
        <f>S171-T171</f>
        <v>4.0558270676691563</v>
      </c>
      <c r="V171" s="1">
        <f>F171/D171</f>
        <v>0.26174891101808939</v>
      </c>
      <c r="W171" s="1">
        <f>(F171+M171+N171+P171)/(D171+M171+N171+Q171)</f>
        <v>0.31683422544907558</v>
      </c>
      <c r="X171" s="1">
        <f>(G171+H171*2+I171*3+J171*4)/D171</f>
        <v>0.40822142537931549</v>
      </c>
      <c r="Y171" s="1">
        <f>W171+X171</f>
        <v>0.72505565082839107</v>
      </c>
      <c r="Z171">
        <v>0.27698927940000001</v>
      </c>
      <c r="AA171">
        <v>13.72180451</v>
      </c>
      <c r="AB171">
        <v>6.7628090842999997</v>
      </c>
      <c r="AD171" s="2">
        <f>(D171-O171-J171+Q171)*Z171</f>
        <v>101.67160617919241</v>
      </c>
      <c r="AE171">
        <v>0.24463938900000001</v>
      </c>
      <c r="AF171">
        <v>0.78387003748918505</v>
      </c>
      <c r="AG171">
        <v>0.198019801980198</v>
      </c>
      <c r="AH171">
        <v>9.74681134589752E-3</v>
      </c>
      <c r="AI171">
        <v>3.0103092783505099E-2</v>
      </c>
      <c r="AJ171">
        <v>0.117844353150918</v>
      </c>
      <c r="AK171">
        <v>0.12577319587628799</v>
      </c>
      <c r="AL171">
        <v>8.2474226804119997E-4</v>
      </c>
      <c r="AM171">
        <v>6.3009552634067196E-3</v>
      </c>
      <c r="AN171">
        <v>8.2474226804123002E-3</v>
      </c>
      <c r="AO171">
        <v>1.24498100922408E-2</v>
      </c>
      <c r="AP171">
        <v>4.0872800558095501E-3</v>
      </c>
      <c r="AQ171">
        <v>1.92565969923386E-3</v>
      </c>
    </row>
    <row r="172" spans="1:43" x14ac:dyDescent="0.4">
      <c r="A172" t="s">
        <v>214</v>
      </c>
      <c r="B172" s="3" t="s">
        <v>220</v>
      </c>
      <c r="C172" s="4">
        <f>K172*1.9+G172*2.6+H172*5.2+I172*7.8+J172*10.4+L172*1.9+S172*4.2+M172*2.6+P172*2.6</f>
        <v>814.15813954486953</v>
      </c>
      <c r="D172" s="2">
        <f>E172-M172-P172-Q172-R172</f>
        <v>401.60217465039068</v>
      </c>
      <c r="E172">
        <v>454</v>
      </c>
      <c r="F172" s="2">
        <f>AD172+J172</f>
        <v>90.47937080326416</v>
      </c>
      <c r="G172" s="2">
        <f>$AD172*AF172</f>
        <v>53.563401707068884</v>
      </c>
      <c r="H172" s="2">
        <f>$AD172*AG172</f>
        <v>16.198168068341207</v>
      </c>
      <c r="I172" s="2">
        <f>$AD172*AH172</f>
        <v>1.9642710940231267</v>
      </c>
      <c r="J172" s="2">
        <f>$E172*AI172</f>
        <v>18.599999999999948</v>
      </c>
      <c r="K172" s="2">
        <f>$E172*AJ172</f>
        <v>54.874534161490352</v>
      </c>
      <c r="L172" s="2">
        <f>$E172*AK172</f>
        <v>55.999999999999829</v>
      </c>
      <c r="M172" s="2">
        <f>$E172*(AB172/100)</f>
        <v>32.801863354359952</v>
      </c>
      <c r="N172" s="2">
        <f>$E172*AL172</f>
        <v>0.39999999999998775</v>
      </c>
      <c r="O172" s="2">
        <f>$E172*(AA172/100)</f>
        <v>137.23395444580001</v>
      </c>
      <c r="P172" s="2">
        <f>$E172*AM172</f>
        <v>15.548931116389509</v>
      </c>
      <c r="Q172" s="2">
        <f>$E172*AN172</f>
        <v>2.9999999999999991</v>
      </c>
      <c r="R172" s="2">
        <f>$E172*AQ172</f>
        <v>1.0470308788598415</v>
      </c>
      <c r="S172" s="2">
        <f>$E172*AO172</f>
        <v>10.839958592132479</v>
      </c>
      <c r="T172" s="2">
        <f>$E172*AP172</f>
        <v>2.0819875776397372</v>
      </c>
      <c r="U172" s="2">
        <f>S172-T172</f>
        <v>8.7579710144927425</v>
      </c>
      <c r="V172" s="1">
        <f>F172/D172</f>
        <v>0.22529601808563349</v>
      </c>
      <c r="W172" s="1">
        <f>(F172+M172+N172+P172)/(D172+M172+N172+Q172)</f>
        <v>0.3180193721111883</v>
      </c>
      <c r="X172" s="1">
        <f>(G172+H172*2+I172*3+J172*4)/D172</f>
        <v>0.41397323425987265</v>
      </c>
      <c r="Y172" s="1">
        <f>W172+X172</f>
        <v>0.73199260637106089</v>
      </c>
      <c r="Z172">
        <v>0.28894113059999998</v>
      </c>
      <c r="AA172">
        <v>30.227743270000001</v>
      </c>
      <c r="AB172">
        <v>7.2250800339999897</v>
      </c>
      <c r="AD172" s="2">
        <f>(D172-O172-J172+Q172)*Z172</f>
        <v>71.879370803264209</v>
      </c>
      <c r="AE172">
        <v>0.20313425700000001</v>
      </c>
      <c r="AF172">
        <v>0.74518462124095897</v>
      </c>
      <c r="AG172">
        <v>0.22535211267605601</v>
      </c>
      <c r="AH172">
        <v>2.7327327327327199E-2</v>
      </c>
      <c r="AI172">
        <v>4.0969162995594603E-2</v>
      </c>
      <c r="AJ172">
        <v>0.120869017976851</v>
      </c>
      <c r="AK172">
        <v>0.123348017621145</v>
      </c>
      <c r="AL172">
        <v>8.8105726872244E-4</v>
      </c>
      <c r="AM172">
        <v>3.4248746952399801E-2</v>
      </c>
      <c r="AN172">
        <v>6.6079295154184998E-3</v>
      </c>
      <c r="AO172">
        <v>2.38765607756222E-2</v>
      </c>
      <c r="AP172">
        <v>4.5858757216734299E-3</v>
      </c>
      <c r="AQ172">
        <v>2.3062354159908401E-3</v>
      </c>
    </row>
    <row r="173" spans="1:43" x14ac:dyDescent="0.4">
      <c r="A173" t="s">
        <v>189</v>
      </c>
      <c r="B173" t="s">
        <v>194</v>
      </c>
      <c r="C173" s="4">
        <f>K173*1.9+G173*2.6+H173*5.2+I173*7.8+J173*10.4+L173*1.9+S173*4.2+M173*2.6+P173*2.6</f>
        <v>810.51943923703493</v>
      </c>
      <c r="D173" s="2">
        <f>E173-M173-P173-Q173-R173</f>
        <v>410.82421582036073</v>
      </c>
      <c r="E173">
        <v>452</v>
      </c>
      <c r="F173" s="2">
        <f>AD173+J173</f>
        <v>105.44914540883133</v>
      </c>
      <c r="G173" s="2">
        <f>$AD173*AF173</f>
        <v>65.596039966476297</v>
      </c>
      <c r="H173" s="2">
        <f>$AD173*AG173</f>
        <v>22.619324126371076</v>
      </c>
      <c r="I173" s="2">
        <f>$AD173*AH173</f>
        <v>2.0563021933064647</v>
      </c>
      <c r="J173" s="2">
        <f>$E173*AI173</f>
        <v>15.999999999999964</v>
      </c>
      <c r="K173" s="2">
        <f>$E173*AJ173</f>
        <v>55.137724550898149</v>
      </c>
      <c r="L173" s="2">
        <f>$E173*AK173</f>
        <v>55.999999999999766</v>
      </c>
      <c r="M173" s="2">
        <f>$E173*(AB173/100)</f>
        <v>31.057684632127998</v>
      </c>
      <c r="N173" s="2">
        <f>$E173*AL173</f>
        <v>1.080439121756454</v>
      </c>
      <c r="O173" s="2">
        <f>$E173*(AA173/100)</f>
        <v>110.97005986399999</v>
      </c>
      <c r="P173" s="2">
        <f>$E173*AM173</f>
        <v>7.1180995475112878</v>
      </c>
      <c r="Q173" s="2">
        <f>$E173*AN173</f>
        <v>2.9999999999999911</v>
      </c>
      <c r="R173" s="2">
        <f>$E173*AQ173</f>
        <v>0</v>
      </c>
      <c r="S173" s="2">
        <f>$E173*AO173</f>
        <v>7.021756487025911</v>
      </c>
      <c r="T173" s="2">
        <f>$E173*AP173</f>
        <v>2.9706586826347219</v>
      </c>
      <c r="U173" s="2">
        <f>S173-T173</f>
        <v>4.0510978043911887</v>
      </c>
      <c r="V173" s="1">
        <f>F173/D173</f>
        <v>0.25667704421528209</v>
      </c>
      <c r="W173" s="1">
        <f>(F173+M173+N173+P173)/(D173+M173+N173+Q173)</f>
        <v>0.32447889848361533</v>
      </c>
      <c r="X173" s="1">
        <f>(G173+H173*2+I173*3+J173*4)/D173</f>
        <v>0.44058647915312849</v>
      </c>
      <c r="Y173" s="1">
        <f>W173+X173</f>
        <v>0.76506537763674376</v>
      </c>
      <c r="Z173">
        <v>0.31182795699999999</v>
      </c>
      <c r="AA173">
        <v>24.550898199999999</v>
      </c>
      <c r="AB173">
        <v>6.8711691663999996</v>
      </c>
      <c r="AD173" s="2">
        <f>(D173-O173-J173+Q173)*Z173</f>
        <v>89.449145408831356</v>
      </c>
      <c r="AE173">
        <v>0.22600000000000001</v>
      </c>
      <c r="AF173">
        <v>0.73333333333333295</v>
      </c>
      <c r="AG173">
        <v>0.25287356321839</v>
      </c>
      <c r="AH173">
        <v>2.2988505747126398E-2</v>
      </c>
      <c r="AI173">
        <v>3.5398230088495498E-2</v>
      </c>
      <c r="AJ173">
        <v>0.121986116263049</v>
      </c>
      <c r="AK173">
        <v>0.123893805309734</v>
      </c>
      <c r="AL173">
        <v>2.3903520392841902E-3</v>
      </c>
      <c r="AM173">
        <v>1.5748007848476301E-2</v>
      </c>
      <c r="AN173">
        <v>6.6371681415929003E-3</v>
      </c>
      <c r="AO173">
        <v>1.55348594845706E-2</v>
      </c>
      <c r="AP173">
        <v>6.5722537226431902E-3</v>
      </c>
      <c r="AQ173">
        <v>0</v>
      </c>
    </row>
    <row r="174" spans="1:43" x14ac:dyDescent="0.4">
      <c r="A174" t="s">
        <v>84</v>
      </c>
      <c r="B174" t="s">
        <v>93</v>
      </c>
      <c r="C174" s="4">
        <f>K174*1.9+G174*2.6+H174*5.2+I174*7.8+J174*10.4+L174*1.9+S174*4.2+M174*2.6+P174*2.6</f>
        <v>806.58751172086943</v>
      </c>
      <c r="D174" s="2">
        <f>E174-M174-P174-Q174-R174</f>
        <v>418.20043609119949</v>
      </c>
      <c r="E174">
        <v>469</v>
      </c>
      <c r="F174" s="2">
        <f>AD174+J174</f>
        <v>107.81878402238618</v>
      </c>
      <c r="G174" s="2">
        <f>$AD174*AF174</f>
        <v>70.783680017220149</v>
      </c>
      <c r="H174" s="2">
        <f>$AD174*AG174</f>
        <v>20.223908576348546</v>
      </c>
      <c r="I174" s="2">
        <f>$AD174*AH174</f>
        <v>1.0111954288174227</v>
      </c>
      <c r="J174" s="2">
        <f>$E174*AI174</f>
        <v>15.799999999999976</v>
      </c>
      <c r="K174" s="2">
        <f>$E174*AJ174</f>
        <v>55.882857142856835</v>
      </c>
      <c r="L174" s="2">
        <f>$E174*AK174</f>
        <v>58.999999999999716</v>
      </c>
      <c r="M174" s="2">
        <f>$E174*(AB174/100)</f>
        <v>40.307142856169001</v>
      </c>
      <c r="N174" s="2">
        <f>$E174*AL174</f>
        <v>1.0914285714285668</v>
      </c>
      <c r="O174" s="2">
        <f>$E174*(AA174/100)</f>
        <v>109.1142857028</v>
      </c>
      <c r="P174" s="2">
        <f>$E174*AM174</f>
        <v>6.8924210526315486</v>
      </c>
      <c r="Q174" s="2">
        <f>$E174*AN174</f>
        <v>3.5999999999999859</v>
      </c>
      <c r="R174" s="2">
        <f>$E174*AQ174</f>
        <v>0</v>
      </c>
      <c r="S174" s="2">
        <f>$E174*AO174</f>
        <v>0.99571428571428156</v>
      </c>
      <c r="T174" s="2">
        <f>$E174*AP174</f>
        <v>0</v>
      </c>
      <c r="U174" s="2">
        <f>S174-T174</f>
        <v>0.99571428571428156</v>
      </c>
      <c r="V174" s="1">
        <f>F174/D174</f>
        <v>0.25781604875914926</v>
      </c>
      <c r="W174" s="1">
        <f>(F174+M174+N174+P174)/(D174+M174+N174+Q174)</f>
        <v>0.33702528280197197</v>
      </c>
      <c r="X174" s="1">
        <f>(G174+H174*2+I174*3+J174*4)/D174</f>
        <v>0.42435413294898749</v>
      </c>
      <c r="Y174" s="1">
        <f>W174+X174</f>
        <v>0.76137941575095947</v>
      </c>
      <c r="Z174">
        <v>0.30994636800000003</v>
      </c>
      <c r="AA174">
        <v>23.265306120000002</v>
      </c>
      <c r="AB174">
        <v>8.5942735301000006</v>
      </c>
      <c r="AD174" s="2">
        <f>(D174-O174-J174+Q174)*Z174</f>
        <v>92.018784022386214</v>
      </c>
      <c r="AE174">
        <v>0.22626253900000001</v>
      </c>
      <c r="AF174">
        <v>0.76923076923076905</v>
      </c>
      <c r="AG174">
        <v>0.219780219780219</v>
      </c>
      <c r="AH174">
        <v>1.09890109890109E-2</v>
      </c>
      <c r="AI174">
        <v>3.36886993603411E-2</v>
      </c>
      <c r="AJ174">
        <v>0.119153213524215</v>
      </c>
      <c r="AK174">
        <v>0.12579957356076699</v>
      </c>
      <c r="AL174">
        <v>2.3271398111483301E-3</v>
      </c>
      <c r="AM174">
        <v>1.4695993715632299E-2</v>
      </c>
      <c r="AN174">
        <v>7.6759061833688398E-3</v>
      </c>
      <c r="AO174">
        <v>2.1230581784952699E-3</v>
      </c>
      <c r="AP174">
        <v>0</v>
      </c>
      <c r="AQ174">
        <v>0</v>
      </c>
    </row>
    <row r="175" spans="1:43" x14ac:dyDescent="0.4">
      <c r="A175" t="s">
        <v>172</v>
      </c>
      <c r="B175" s="3" t="s">
        <v>174</v>
      </c>
      <c r="C175" s="4">
        <f>K175*1.9+G175*2.6+H175*5.2+I175*7.8+J175*10.4+L175*1.9+S175*4.2+M175*2.6+P175*2.6</f>
        <v>805.38174840229726</v>
      </c>
      <c r="D175" s="2">
        <f>E175-M175-P175-Q175-R175</f>
        <v>415.78005354932276</v>
      </c>
      <c r="E175">
        <v>465</v>
      </c>
      <c r="F175" s="2">
        <f>AD175+J175</f>
        <v>95.467974143632631</v>
      </c>
      <c r="G175" s="2">
        <f>$AD175*AF175</f>
        <v>58.208584741228115</v>
      </c>
      <c r="H175" s="2">
        <f>$AD175*AG175</f>
        <v>17.151407472556691</v>
      </c>
      <c r="I175" s="2">
        <f>$AD175*AH175</f>
        <v>1.0063948196912689</v>
      </c>
      <c r="J175" s="2">
        <f>$E175*AI175</f>
        <v>19.79999999999994</v>
      </c>
      <c r="K175" s="2">
        <f>$E175*AJ175</f>
        <v>54.131557377048779</v>
      </c>
      <c r="L175" s="2">
        <f>$E175*AK175</f>
        <v>62.999999999999567</v>
      </c>
      <c r="M175" s="2">
        <f>$E175*(AB175/100)</f>
        <v>40.287909837404953</v>
      </c>
      <c r="N175" s="2">
        <f>$E175*AL175</f>
        <v>0.89999999999999913</v>
      </c>
      <c r="O175" s="2">
        <f>$E175*(AA175/100)</f>
        <v>113.39139343500001</v>
      </c>
      <c r="P175" s="2">
        <f>$E175*AM175</f>
        <v>5.9320366132722873</v>
      </c>
      <c r="Q175" s="2">
        <f>$E175*AN175</f>
        <v>2.9999999999999973</v>
      </c>
      <c r="R175" s="2">
        <f>$E175*AQ175</f>
        <v>0</v>
      </c>
      <c r="S175" s="2">
        <f>$E175*AO175</f>
        <v>1.9905737704918014</v>
      </c>
      <c r="T175" s="2">
        <f>$E175*AP175</f>
        <v>0.99528688524589826</v>
      </c>
      <c r="U175" s="2">
        <f>S175-T175</f>
        <v>0.99528688524590314</v>
      </c>
      <c r="V175" s="1">
        <f>F175/D175</f>
        <v>0.22961172218019243</v>
      </c>
      <c r="W175" s="1">
        <f>(F175+M175+N175+P175)/(D175+M175+N175+Q175)</f>
        <v>0.30999532998872381</v>
      </c>
      <c r="X175" s="1">
        <f>(G175+H175*2+I175*3+J175*4)/D175</f>
        <v>0.42024763490653427</v>
      </c>
      <c r="Y175" s="1">
        <f>W175+X175</f>
        <v>0.73024296489525808</v>
      </c>
      <c r="Z175">
        <v>0.26495440720000002</v>
      </c>
      <c r="AA175">
        <v>24.385245900000001</v>
      </c>
      <c r="AB175">
        <v>8.6640666316999901</v>
      </c>
      <c r="AD175" s="2">
        <f>(D175-O175-J175+Q175)*Z175</f>
        <v>75.667974143632691</v>
      </c>
      <c r="AE175">
        <v>0.205533674</v>
      </c>
      <c r="AF175">
        <v>0.76926315789473598</v>
      </c>
      <c r="AG175">
        <v>0.22666666666666599</v>
      </c>
      <c r="AH175">
        <v>1.33001422475106E-2</v>
      </c>
      <c r="AI175">
        <v>4.2580645161290197E-2</v>
      </c>
      <c r="AJ175">
        <v>0.116411951348492</v>
      </c>
      <c r="AK175">
        <v>0.135483870967741</v>
      </c>
      <c r="AL175">
        <v>1.93548387096774E-3</v>
      </c>
      <c r="AM175">
        <v>1.2757067985531801E-2</v>
      </c>
      <c r="AN175">
        <v>6.4516129032258004E-3</v>
      </c>
      <c r="AO175">
        <v>4.2808038075092501E-3</v>
      </c>
      <c r="AP175">
        <v>2.1404019037546199E-3</v>
      </c>
      <c r="AQ175">
        <v>0</v>
      </c>
    </row>
    <row r="176" spans="1:43" x14ac:dyDescent="0.4">
      <c r="A176" t="s">
        <v>154</v>
      </c>
      <c r="B176" s="3" t="s">
        <v>157</v>
      </c>
      <c r="C176" s="4">
        <f>K176*1.9+G176*2.6+H176*5.2+I176*7.8+J176*10.4+L176*1.9+S176*4.2+M176*2.6+P176*2.6</f>
        <v>802.0964773787415</v>
      </c>
      <c r="D176" s="2">
        <f>E176-M176-P176-Q176-R176</f>
        <v>401.09695732939957</v>
      </c>
      <c r="E176">
        <v>452</v>
      </c>
      <c r="F176" s="2">
        <f>AD176+J176</f>
        <v>92.859623031423055</v>
      </c>
      <c r="G176" s="2">
        <f>$AD176*AF176</f>
        <v>60.397537004854719</v>
      </c>
      <c r="H176" s="2">
        <f>$AD176*AG176</f>
        <v>17.140169894177408</v>
      </c>
      <c r="I176" s="2">
        <f>$AD176*AH176</f>
        <v>2.974454300594493</v>
      </c>
      <c r="J176" s="2">
        <f>$E176*AI176</f>
        <v>12.199999999999966</v>
      </c>
      <c r="K176" s="2">
        <f>$E176*AJ176</f>
        <v>55.915102040815967</v>
      </c>
      <c r="L176" s="2">
        <f>$E176*AK176</f>
        <v>48.99999999999968</v>
      </c>
      <c r="M176" s="2">
        <f>$E176*(AB176/100)</f>
        <v>43.035510203068</v>
      </c>
      <c r="N176" s="2">
        <f>$E176*AL176</f>
        <v>0.3999999999999867</v>
      </c>
      <c r="O176" s="2">
        <f>$E176*(AA176/100)</f>
        <v>136.52244896760001</v>
      </c>
      <c r="P176" s="2">
        <f>$E176*AM176</f>
        <v>4.1870129870129444</v>
      </c>
      <c r="Q176" s="2">
        <f>$E176*AN176</f>
        <v>1.9999999999999789</v>
      </c>
      <c r="R176" s="2">
        <f>$E176*AQ176</f>
        <v>1.6805194805194594</v>
      </c>
      <c r="S176" s="2">
        <f>$E176*AO176</f>
        <v>19.93714285714281</v>
      </c>
      <c r="T176" s="2">
        <f>$E176*AP176</f>
        <v>5.053469387755035</v>
      </c>
      <c r="U176" s="2">
        <f>S176-T176</f>
        <v>14.883673469387775</v>
      </c>
      <c r="V176" s="1">
        <f>F176/D176</f>
        <v>0.23151415470639533</v>
      </c>
      <c r="W176" s="1">
        <f>(F176+M176+N176+P176)/(D176+M176+N176+Q176)</f>
        <v>0.31460678995596097</v>
      </c>
      <c r="X176" s="1">
        <f>(G176+H176*2+I176*3+J176*4)/D176</f>
        <v>0.3799610964633518</v>
      </c>
      <c r="Y176" s="1">
        <f>W176+X176</f>
        <v>0.69456788641931277</v>
      </c>
      <c r="Z176">
        <v>0.31709003999999902</v>
      </c>
      <c r="AA176">
        <v>30.204081630000001</v>
      </c>
      <c r="AB176">
        <v>9.5211305758999991</v>
      </c>
      <c r="AD176" s="2">
        <f>(D176-O176-J176+Q176)*Z176</f>
        <v>80.659623031423095</v>
      </c>
      <c r="AE176">
        <v>0.209337298</v>
      </c>
      <c r="AF176">
        <v>0.74879518072289097</v>
      </c>
      <c r="AG176">
        <v>0.21249999999999999</v>
      </c>
      <c r="AH176">
        <v>3.6876620405673299E-2</v>
      </c>
      <c r="AI176">
        <v>2.6991150442477799E-2</v>
      </c>
      <c r="AJ176">
        <v>0.123705977966407</v>
      </c>
      <c r="AK176">
        <v>0.10840707964601699</v>
      </c>
      <c r="AL176">
        <v>8.8495575221235999E-4</v>
      </c>
      <c r="AM176">
        <v>9.2633030686127098E-3</v>
      </c>
      <c r="AN176">
        <v>4.4247787610619E-3</v>
      </c>
      <c r="AO176">
        <v>4.4108723135271699E-2</v>
      </c>
      <c r="AP176">
        <v>1.1180242008307599E-2</v>
      </c>
      <c r="AQ176">
        <v>3.7179634524766802E-3</v>
      </c>
    </row>
    <row r="177" spans="1:43" x14ac:dyDescent="0.4">
      <c r="A177" t="s">
        <v>138</v>
      </c>
      <c r="B177" t="s">
        <v>143</v>
      </c>
      <c r="C177" s="4">
        <f>K177*1.9+G177*2.6+H177*5.2+I177*7.8+J177*10.4+L177*1.9+S177*4.2+M177*2.6+P177*2.6</f>
        <v>799.79816133031477</v>
      </c>
      <c r="D177" s="2">
        <f>E177-M177-P177-Q177-R177</f>
        <v>407.4822043390601</v>
      </c>
      <c r="E177">
        <v>464</v>
      </c>
      <c r="F177" s="2">
        <f>AD177+J177</f>
        <v>94.263489449176149</v>
      </c>
      <c r="G177" s="2">
        <f>$AD177*AF177</f>
        <v>57.695434269978811</v>
      </c>
      <c r="H177" s="2">
        <f>$AD177*AG177</f>
        <v>17.691574488271375</v>
      </c>
      <c r="I177" s="2">
        <f>$AD177*AH177</f>
        <v>0.97042391707817477</v>
      </c>
      <c r="J177" s="2">
        <f>$E177*AI177</f>
        <v>17.599999999999945</v>
      </c>
      <c r="K177" s="2">
        <f>$E177*AJ177</f>
        <v>55.449496981891265</v>
      </c>
      <c r="L177" s="2">
        <f>$E177*AK177</f>
        <v>60.999999999999858</v>
      </c>
      <c r="M177" s="2">
        <f>$E177*(AB177/100)</f>
        <v>45.881287724432006</v>
      </c>
      <c r="N177" s="2">
        <f>$E177*AL177</f>
        <v>1.9867203219315823</v>
      </c>
      <c r="O177" s="2">
        <f>$E177*(AA177/100)</f>
        <v>112.9657947744</v>
      </c>
      <c r="P177" s="2">
        <f>$E177*AM177</f>
        <v>7.0365079365079186</v>
      </c>
      <c r="Q177" s="2">
        <f>$E177*AN177</f>
        <v>3.5999999999999943</v>
      </c>
      <c r="R177" s="2">
        <f>$E177*AQ177</f>
        <v>0</v>
      </c>
      <c r="S177" s="2">
        <f>$E177*AO177</f>
        <v>1.9867203219315823</v>
      </c>
      <c r="T177" s="2">
        <f>$E177*AP177</f>
        <v>0.99336016096579116</v>
      </c>
      <c r="U177" s="2">
        <f>S177-T177</f>
        <v>0.99336016096579116</v>
      </c>
      <c r="V177" s="1">
        <f>F177/D177</f>
        <v>0.23133154882695406</v>
      </c>
      <c r="W177" s="1">
        <f>(F177+M177+N177+P177)/(D177+M177+N177+Q177)</f>
        <v>0.32502001612928166</v>
      </c>
      <c r="X177" s="1">
        <f>(G177+H177*2+I177*3+J177*4)/D177</f>
        <v>0.40833649476212525</v>
      </c>
      <c r="Y177" s="1">
        <f>W177+X177</f>
        <v>0.73335651089140685</v>
      </c>
      <c r="Z177">
        <v>0.27329413479999998</v>
      </c>
      <c r="AA177">
        <v>24.346076459999999</v>
      </c>
      <c r="AB177">
        <v>9.8882085613000008</v>
      </c>
      <c r="AD177" s="2">
        <f>(D177-O177-J177+Q177)*Z177</f>
        <v>76.663489449176211</v>
      </c>
      <c r="AE177">
        <v>0.20896875600000001</v>
      </c>
      <c r="AF177">
        <v>0.75258033106134303</v>
      </c>
      <c r="AG177">
        <v>0.23076923076923</v>
      </c>
      <c r="AH177">
        <v>1.26582278481012E-2</v>
      </c>
      <c r="AI177">
        <v>3.7931034482758502E-2</v>
      </c>
      <c r="AJ177">
        <v>0.119503226254076</v>
      </c>
      <c r="AK177">
        <v>0.131465517241379</v>
      </c>
      <c r="AL177">
        <v>4.2817248317490999E-3</v>
      </c>
      <c r="AM177">
        <v>1.51648877941981E-2</v>
      </c>
      <c r="AN177">
        <v>7.7586206896551602E-3</v>
      </c>
      <c r="AO177">
        <v>4.2817248317490999E-3</v>
      </c>
      <c r="AP177">
        <v>2.14086241587455E-3</v>
      </c>
      <c r="AQ177">
        <v>0</v>
      </c>
    </row>
    <row r="178" spans="1:43" x14ac:dyDescent="0.4">
      <c r="A178" t="s">
        <v>248</v>
      </c>
      <c r="B178" s="3" t="s">
        <v>251</v>
      </c>
      <c r="C178" s="4">
        <f>K178*1.9+G178*2.6+H178*5.2+I178*7.8+J178*10.4+L178*1.9+S178*4.2+M178*2.6+P178*2.6</f>
        <v>790.82386555569713</v>
      </c>
      <c r="D178" s="2">
        <f>E178-M178-P178-Q178-R178</f>
        <v>394.86156156190594</v>
      </c>
      <c r="E178">
        <v>448</v>
      </c>
      <c r="F178" s="2">
        <f>AD178+J178</f>
        <v>94.11583508628911</v>
      </c>
      <c r="G178" s="2">
        <f>$AD178*AF178</f>
        <v>58.227649699603703</v>
      </c>
      <c r="H178" s="2">
        <f>$AD178*AG178</f>
        <v>19.64236990031058</v>
      </c>
      <c r="I178" s="2">
        <f>$AD178*AH178</f>
        <v>3.9572189116235528</v>
      </c>
      <c r="J178" s="2">
        <f>$E178*AI178</f>
        <v>12.599999999999955</v>
      </c>
      <c r="K178" s="2">
        <f>$E178*AJ178</f>
        <v>57.329729729729408</v>
      </c>
      <c r="L178" s="2">
        <f>$E178*AK178</f>
        <v>47.999999999999936</v>
      </c>
      <c r="M178" s="2">
        <f>$E178*(AB178/100)</f>
        <v>44.616216215871994</v>
      </c>
      <c r="N178" s="2">
        <f>$E178*AL178</f>
        <v>1.8864864864864794</v>
      </c>
      <c r="O178" s="2">
        <f>$E178*(AA178/100)</f>
        <v>112.432432448</v>
      </c>
      <c r="P178" s="2">
        <f>$E178*AM178</f>
        <v>5.122222222222157</v>
      </c>
      <c r="Q178" s="2">
        <f>$E178*AN178</f>
        <v>2.999999999999968</v>
      </c>
      <c r="R178" s="2">
        <f>$E178*AQ178</f>
        <v>0.39999999999998975</v>
      </c>
      <c r="S178" s="2">
        <f>$E178*AO178</f>
        <v>10.937837837837792</v>
      </c>
      <c r="T178" s="2">
        <f>$E178*AP178</f>
        <v>3.0459459459459159</v>
      </c>
      <c r="U178" s="2">
        <f>S178-T178</f>
        <v>7.8918918918918761</v>
      </c>
      <c r="V178" s="1">
        <f>F178/D178</f>
        <v>0.23835147365068032</v>
      </c>
      <c r="W178" s="1">
        <f>(F178+M178+N178+P178)/(D178+M178+N178+Q178)</f>
        <v>0.32797587864580713</v>
      </c>
      <c r="X178" s="1">
        <f>(G178+H178*2+I178*3+J178*4)/D178</f>
        <v>0.40465839623147154</v>
      </c>
      <c r="Y178" s="1">
        <f>W178+X178</f>
        <v>0.73263427487727872</v>
      </c>
      <c r="Z178">
        <v>0.29877980900000001</v>
      </c>
      <c r="AA178">
        <v>25.096525100000001</v>
      </c>
      <c r="AB178">
        <v>9.9589768338999995</v>
      </c>
      <c r="AD178" s="2">
        <f>(D178-O178-J178+Q178)*Z178</f>
        <v>81.515835086289158</v>
      </c>
      <c r="AE178">
        <v>0.210924792</v>
      </c>
      <c r="AF178">
        <v>0.71431090214516502</v>
      </c>
      <c r="AG178">
        <v>0.240963855421686</v>
      </c>
      <c r="AH178">
        <v>4.8545401116661703E-2</v>
      </c>
      <c r="AI178">
        <v>2.81249999999999E-2</v>
      </c>
      <c r="AJ178">
        <v>0.12796814671814599</v>
      </c>
      <c r="AK178">
        <v>0.107142857142857</v>
      </c>
      <c r="AL178">
        <v>4.21090733590732E-3</v>
      </c>
      <c r="AM178">
        <v>1.14335317460316E-2</v>
      </c>
      <c r="AN178">
        <v>6.6964285714284999E-3</v>
      </c>
      <c r="AO178">
        <v>2.4414816602316501E-2</v>
      </c>
      <c r="AP178">
        <v>6.7989864864864196E-3</v>
      </c>
      <c r="AQ178">
        <v>8.9285714285711995E-4</v>
      </c>
    </row>
    <row r="179" spans="1:43" x14ac:dyDescent="0.4">
      <c r="A179" t="s">
        <v>49</v>
      </c>
      <c r="B179" s="3" t="s">
        <v>56</v>
      </c>
      <c r="C179" s="4">
        <f>K179*1.9+G179*2.6+H179*5.2+I179*7.8+J179*10.4+L179*1.9+S179*4.2+M179*2.6+P179*2.6</f>
        <v>787.8509904806682</v>
      </c>
      <c r="D179" s="2">
        <f>E179-M179-P179-Q179-R179</f>
        <v>412.00951190915544</v>
      </c>
      <c r="E179">
        <v>467</v>
      </c>
      <c r="F179" s="2">
        <f>AD179+J179</f>
        <v>98.571038573157537</v>
      </c>
      <c r="G179" s="2">
        <f>$AD179*AF179</f>
        <v>62.944282398279995</v>
      </c>
      <c r="H179" s="2">
        <f>$AD179*AG179</f>
        <v>19.811599675717602</v>
      </c>
      <c r="I179" s="2">
        <f>$AD179*AH179</f>
        <v>2.4339965315881549</v>
      </c>
      <c r="J179" s="2">
        <f>$E179*AI179</f>
        <v>11.399999999999972</v>
      </c>
      <c r="K179" s="2">
        <f>$E179*AJ179</f>
        <v>63.826012793176545</v>
      </c>
      <c r="L179" s="2">
        <f>$E179*AK179</f>
        <v>46.999999999999574</v>
      </c>
      <c r="M179" s="2">
        <f>$E179*(AB179/100)</f>
        <v>49.174413640760001</v>
      </c>
      <c r="N179" s="2">
        <f>$E179*AL179</f>
        <v>1.3995735607675623</v>
      </c>
      <c r="O179" s="2">
        <f>$E179*(AA179/100)</f>
        <v>123.47121535469998</v>
      </c>
      <c r="P179" s="2">
        <f>$E179*AM179</f>
        <v>3.0160744500845933</v>
      </c>
      <c r="Q179" s="2">
        <f>$E179*AN179</f>
        <v>2.3999999999999755</v>
      </c>
      <c r="R179" s="2">
        <f>$E179*AQ179</f>
        <v>0.39999999999999286</v>
      </c>
      <c r="S179" s="2">
        <f>$E179*AO179</f>
        <v>8.8965884861406934</v>
      </c>
      <c r="T179" s="2">
        <f>$E179*AP179</f>
        <v>1.8995735607675532</v>
      </c>
      <c r="U179" s="2">
        <f>S179-T179</f>
        <v>6.99701492537314</v>
      </c>
      <c r="V179" s="1">
        <f>F179/D179</f>
        <v>0.23924457014694264</v>
      </c>
      <c r="W179" s="1">
        <f>(F179+M179+N179+P179)/(D179+M179+N179+Q179)</f>
        <v>0.3272397848865381</v>
      </c>
      <c r="X179" s="1">
        <f>(G179+H179*2+I179*3+J179*4)/D179</f>
        <v>0.37734437397833487</v>
      </c>
      <c r="Y179" s="1">
        <f>W179+X179</f>
        <v>0.70458415886487291</v>
      </c>
      <c r="Z179">
        <v>0.3118393424</v>
      </c>
      <c r="AA179">
        <v>26.439232409999999</v>
      </c>
      <c r="AB179">
        <v>10.529853028</v>
      </c>
      <c r="AD179" s="2">
        <f>(D179-O179-J179+Q179)*Z179</f>
        <v>87.17103857315756</v>
      </c>
      <c r="AE179">
        <v>0.205274711</v>
      </c>
      <c r="AF179">
        <v>0.72207792207792199</v>
      </c>
      <c r="AG179">
        <v>0.22727272727272699</v>
      </c>
      <c r="AH179">
        <v>2.79220779220778E-2</v>
      </c>
      <c r="AI179">
        <v>2.4411134903640198E-2</v>
      </c>
      <c r="AJ179">
        <v>0.136672404268044</v>
      </c>
      <c r="AK179">
        <v>0.100642398286937</v>
      </c>
      <c r="AL179">
        <v>2.9969455262688701E-3</v>
      </c>
      <c r="AM179">
        <v>6.4584035333717198E-3</v>
      </c>
      <c r="AN179">
        <v>5.1391862955031597E-3</v>
      </c>
      <c r="AO179">
        <v>1.90505106769608E-2</v>
      </c>
      <c r="AP179">
        <v>4.06760933783202E-3</v>
      </c>
      <c r="AQ179">
        <v>8.5653104925052001E-4</v>
      </c>
    </row>
    <row r="180" spans="1:43" x14ac:dyDescent="0.4">
      <c r="A180" t="s">
        <v>180</v>
      </c>
      <c r="B180" s="3" t="s">
        <v>183</v>
      </c>
      <c r="C180" s="4">
        <f>K180*1.9+G180*2.6+H180*5.2+I180*7.8+J180*10.4+L180*1.9+S180*4.2+M180*2.6+P180*2.6</f>
        <v>786.6541241415772</v>
      </c>
      <c r="D180" s="2">
        <f>E180-M180-P180-Q180-R180</f>
        <v>413.91736204881039</v>
      </c>
      <c r="E180">
        <v>467</v>
      </c>
      <c r="F180" s="2">
        <f>AD180+J180</f>
        <v>94.334904192074305</v>
      </c>
      <c r="G180" s="2">
        <f>$AD180*AF180</f>
        <v>55.807203048781346</v>
      </c>
      <c r="H180" s="2">
        <f>$AD180*AG180</f>
        <v>18.934586748693622</v>
      </c>
      <c r="I180" s="2">
        <f>$AD180*AH180</f>
        <v>0.99144664756991618</v>
      </c>
      <c r="J180" s="2">
        <f>$E180*AI180</f>
        <v>17.59999999999993</v>
      </c>
      <c r="K180" s="2">
        <f>$E180*AJ180</f>
        <v>52.131168831168544</v>
      </c>
      <c r="L180" s="2">
        <f>$E180*AK180</f>
        <v>58.999999999999552</v>
      </c>
      <c r="M180" s="2">
        <f>$E180*(AB180/100)</f>
        <v>44.148701299606003</v>
      </c>
      <c r="N180" s="2">
        <f>$E180*AL180</f>
        <v>1.2999999999999721</v>
      </c>
      <c r="O180" s="2">
        <f>$E180*(AA180/100)</f>
        <v>110.17965366529999</v>
      </c>
      <c r="P180" s="2">
        <f>$E180*AM180</f>
        <v>5.133936651583646</v>
      </c>
      <c r="Q180" s="2">
        <f>$E180*AN180</f>
        <v>3.3999999999999861</v>
      </c>
      <c r="R180" s="2">
        <f>$E180*AQ180</f>
        <v>0.39999999999999286</v>
      </c>
      <c r="S180" s="2">
        <f>$E180*AO180</f>
        <v>3.1043290043289953</v>
      </c>
      <c r="T180" s="2">
        <f>$E180*AP180</f>
        <v>1.0010822510822273</v>
      </c>
      <c r="U180" s="2">
        <f>S180-T180</f>
        <v>2.103246753246768</v>
      </c>
      <c r="V180" s="1">
        <f>F180/D180</f>
        <v>0.22790757972831796</v>
      </c>
      <c r="W180" s="1">
        <f>(F180+M180+N180+P180)/(D180+M180+N180+Q180)</f>
        <v>0.31315507687553912</v>
      </c>
      <c r="X180" s="1">
        <f>(G180+H180*2+I180*3+J180*4)/D180</f>
        <v>0.40358470507738436</v>
      </c>
      <c r="Y180" s="1">
        <f>W180+X180</f>
        <v>0.71673978195292354</v>
      </c>
      <c r="Z180">
        <v>0.2650255976</v>
      </c>
      <c r="AA180">
        <v>23.593073589999999</v>
      </c>
      <c r="AB180">
        <v>9.4536833617999996</v>
      </c>
      <c r="AD180" s="2">
        <f>(D180-O180-J180+Q180)*Z180</f>
        <v>76.734904192074382</v>
      </c>
      <c r="AE180">
        <v>0.20432067900000001</v>
      </c>
      <c r="AF180">
        <v>0.72727272727272696</v>
      </c>
      <c r="AG180">
        <v>0.246753246753246</v>
      </c>
      <c r="AH180">
        <v>1.2920412920412801E-2</v>
      </c>
      <c r="AI180">
        <v>3.7687366167023402E-2</v>
      </c>
      <c r="AJ180">
        <v>0.111629911844044</v>
      </c>
      <c r="AK180">
        <v>0.126338329764453</v>
      </c>
      <c r="AL180">
        <v>2.7837259100641802E-3</v>
      </c>
      <c r="AM180">
        <v>1.09934403674168E-2</v>
      </c>
      <c r="AN180">
        <v>7.2805139186295203E-3</v>
      </c>
      <c r="AO180">
        <v>6.6473854482419596E-3</v>
      </c>
      <c r="AP180">
        <v>2.1436450772638698E-3</v>
      </c>
      <c r="AQ180">
        <v>8.5653104925052001E-4</v>
      </c>
    </row>
    <row r="181" spans="1:43" x14ac:dyDescent="0.4">
      <c r="A181" t="s">
        <v>239</v>
      </c>
      <c r="B181" t="s">
        <v>242</v>
      </c>
      <c r="C181" s="4">
        <f>K181*1.9+G181*2.6+H181*5.2+I181*7.8+J181*10.4+L181*1.9+S181*4.2+M181*2.6+P181*2.6</f>
        <v>783.55825180988211</v>
      </c>
      <c r="D181" s="2">
        <f>E181-M181-P181-Q181-R181</f>
        <v>401.02244443070668</v>
      </c>
      <c r="E181">
        <v>455</v>
      </c>
      <c r="F181" s="2">
        <f>AD181+J181</f>
        <v>95.800412155983153</v>
      </c>
      <c r="G181" s="2">
        <f>$AD181*AF181</f>
        <v>64.858917670623796</v>
      </c>
      <c r="H181" s="2">
        <f>$AD181*AG181</f>
        <v>19.316759892424759</v>
      </c>
      <c r="I181" s="2">
        <f>$AD181*AH181</f>
        <v>1.598302287304662</v>
      </c>
      <c r="J181" s="2">
        <f>$E181*AI181</f>
        <v>10.399999999999929</v>
      </c>
      <c r="K181" s="2">
        <f>$E181*AJ181</f>
        <v>54.080645161290022</v>
      </c>
      <c r="L181" s="2">
        <f>$E181*AK181</f>
        <v>44</v>
      </c>
      <c r="M181" s="2">
        <f>$E181*(AB181/100)</f>
        <v>43.732258064495007</v>
      </c>
      <c r="N181" s="2">
        <f>$E181*AL181</f>
        <v>1.2096774193548134</v>
      </c>
      <c r="O181" s="2">
        <f>$E181*(AA181/100)</f>
        <v>79.677419367000013</v>
      </c>
      <c r="P181" s="2">
        <f>$E181*AM181</f>
        <v>3.9493282149711706</v>
      </c>
      <c r="Q181" s="2">
        <f>$E181*AN181</f>
        <v>2.9999999999999574</v>
      </c>
      <c r="R181" s="2">
        <f>$E181*AQ181</f>
        <v>3.2959692898272324</v>
      </c>
      <c r="S181" s="2">
        <f>$E181*AO181</f>
        <v>19.887096774193513</v>
      </c>
      <c r="T181" s="2">
        <f>$E181*AP181</f>
        <v>4.9193548387096291</v>
      </c>
      <c r="U181" s="2">
        <f>S181-T181</f>
        <v>14.967741935483883</v>
      </c>
      <c r="V181" s="1">
        <f>F181/D181</f>
        <v>0.23889039999240408</v>
      </c>
      <c r="W181" s="1">
        <f>(F181+M181+N181+P181)/(D181+M181+N181+Q181)</f>
        <v>0.3222787426529044</v>
      </c>
      <c r="X181" s="1">
        <f>(G181+H181*2+I181*3+J181*4)/D181</f>
        <v>0.37376298109739919</v>
      </c>
      <c r="Y181" s="1">
        <f>W181+X181</f>
        <v>0.6960417237503036</v>
      </c>
      <c r="Z181">
        <v>0.27202346059999999</v>
      </c>
      <c r="AA181">
        <v>17.511520740000002</v>
      </c>
      <c r="AB181">
        <v>9.6114852889000009</v>
      </c>
      <c r="AD181" s="2">
        <f>(D181-O181-J181+Q181)*Z181</f>
        <v>85.400412155983219</v>
      </c>
      <c r="AE181">
        <v>0.213188762</v>
      </c>
      <c r="AF181">
        <v>0.759468438538206</v>
      </c>
      <c r="AG181">
        <v>0.226190476190476</v>
      </c>
      <c r="AH181">
        <v>1.8715393133997699E-2</v>
      </c>
      <c r="AI181">
        <v>2.2857142857142701E-2</v>
      </c>
      <c r="AJ181">
        <v>0.118858560794044</v>
      </c>
      <c r="AK181">
        <v>9.6703296703296707E-2</v>
      </c>
      <c r="AL181">
        <v>2.6586316908896999E-3</v>
      </c>
      <c r="AM181">
        <v>8.6798422307058695E-3</v>
      </c>
      <c r="AN181">
        <v>6.5934065934064997E-3</v>
      </c>
      <c r="AO181">
        <v>4.3707904998227499E-2</v>
      </c>
      <c r="AP181">
        <v>1.08117688762849E-2</v>
      </c>
      <c r="AQ181">
        <v>7.2438885490708404E-3</v>
      </c>
    </row>
    <row r="182" spans="1:43" x14ac:dyDescent="0.4">
      <c r="A182" t="s">
        <v>239</v>
      </c>
      <c r="B182" s="3" t="s">
        <v>243</v>
      </c>
      <c r="C182" s="4">
        <f>K182*1.9+G182*2.6+H182*5.2+I182*7.8+J182*10.4+L182*1.9+S182*4.2+M182*2.6+P182*2.6</f>
        <v>780.3690084143484</v>
      </c>
      <c r="D182" s="2">
        <f>E182-M182-P182-Q182-R182</f>
        <v>394.32763379709547</v>
      </c>
      <c r="E182">
        <v>445</v>
      </c>
      <c r="F182" s="2">
        <f>AD182+J182</f>
        <v>97.298565265522754</v>
      </c>
      <c r="G182" s="2">
        <f>$AD182*AF182</f>
        <v>59.564871377991672</v>
      </c>
      <c r="H182" s="2">
        <f>$AD182*AG182</f>
        <v>19.034867739632141</v>
      </c>
      <c r="I182" s="2">
        <f>$AD182*AH182</f>
        <v>1.0950715611156454</v>
      </c>
      <c r="J182" s="2">
        <f>$E182*AI182</f>
        <v>17.8</v>
      </c>
      <c r="K182" s="2">
        <f>$E182*AJ182</f>
        <v>54.074414803327493</v>
      </c>
      <c r="L182" s="2">
        <f>$E182*AK182</f>
        <v>53.844999999999999</v>
      </c>
      <c r="M182" s="2">
        <f>$E182*(AB182/100)</f>
        <v>40.442507177000003</v>
      </c>
      <c r="N182" s="2">
        <f>$E182*AL182</f>
        <v>1.1234029771509517</v>
      </c>
      <c r="O182" s="2">
        <f>$E182*(AA182/100)</f>
        <v>112.18487393350001</v>
      </c>
      <c r="P182" s="2">
        <f>$E182*AM182</f>
        <v>6.9006819685479552</v>
      </c>
      <c r="Q182" s="2">
        <f>$E182*AN182</f>
        <v>3.3291770573565915</v>
      </c>
      <c r="R182" s="2">
        <f>$E182*AQ182</f>
        <v>0</v>
      </c>
      <c r="S182" s="2">
        <f>$E182*AO182</f>
        <v>1.1234029771509517</v>
      </c>
      <c r="T182" s="2">
        <f>$E182*AP182</f>
        <v>0.1246498599439744</v>
      </c>
      <c r="U182" s="2">
        <f>S182-T182</f>
        <v>0.99875311720697735</v>
      </c>
      <c r="V182" s="1">
        <f>F182/D182</f>
        <v>0.24674549011086688</v>
      </c>
      <c r="W182" s="1">
        <f>(F182+M182+N182+P182)/(D182+M182+N182+Q182)</f>
        <v>0.33187071254760198</v>
      </c>
      <c r="X182" s="1">
        <f>(G182+H182*2+I182*3+J182*4)/D182</f>
        <v>0.43648937276652688</v>
      </c>
      <c r="Y182" s="1">
        <f>W182+X182</f>
        <v>0.7683600853141288</v>
      </c>
      <c r="Z182">
        <v>0.29699999999999999</v>
      </c>
      <c r="AA182">
        <v>25.210084030000001</v>
      </c>
      <c r="AB182">
        <v>9.0882038600000001</v>
      </c>
      <c r="AD182" s="2">
        <f>(D182-O182-J182+Q182)*Z182</f>
        <v>79.498565265522757</v>
      </c>
      <c r="AE182">
        <v>0.21783728399999999</v>
      </c>
      <c r="AF182">
        <v>0.74925718695735999</v>
      </c>
      <c r="AG182">
        <v>0.23943661971830901</v>
      </c>
      <c r="AH182">
        <v>1.37747336377473E-2</v>
      </c>
      <c r="AI182">
        <v>0.04</v>
      </c>
      <c r="AJ182">
        <v>0.121515538883882</v>
      </c>
      <c r="AK182">
        <v>0.121</v>
      </c>
      <c r="AL182">
        <v>2.52450107224933E-3</v>
      </c>
      <c r="AM182">
        <v>1.5507150491119E-2</v>
      </c>
      <c r="AN182">
        <v>7.4812967581046998E-3</v>
      </c>
      <c r="AO182">
        <v>2.52450107224933E-3</v>
      </c>
      <c r="AP182">
        <v>2.8011204481792E-4</v>
      </c>
      <c r="AQ182">
        <v>0</v>
      </c>
    </row>
    <row r="183" spans="1:43" x14ac:dyDescent="0.4">
      <c r="A183" t="s">
        <v>61</v>
      </c>
      <c r="B183" s="3" t="s">
        <v>62</v>
      </c>
      <c r="C183" s="4">
        <f>K183*1.9+G183*2.6+H183*5.2+I183*7.8+J183*10.4+L183*1.9+S183*4.2+M183*2.6+P183*2.6</f>
        <v>772.32821233791663</v>
      </c>
      <c r="D183" s="2">
        <f>E183-M183-P183-Q183-R183</f>
        <v>433.46280541127334</v>
      </c>
      <c r="E183">
        <v>461</v>
      </c>
      <c r="F183" s="2">
        <f>AD183+J183</f>
        <v>105.38425202207104</v>
      </c>
      <c r="G183" s="2">
        <f>$AD183*AF183</f>
        <v>69.739566131305992</v>
      </c>
      <c r="H183" s="2">
        <f>$AD183*AG183</f>
        <v>20.387880874363276</v>
      </c>
      <c r="I183" s="2">
        <f>$AD183*AH183</f>
        <v>3.6177643934508383</v>
      </c>
      <c r="J183" s="2">
        <f>$E183*AI183</f>
        <v>11.599999999999939</v>
      </c>
      <c r="K183" s="2">
        <f>$E183*AJ183</f>
        <v>56.015668202764601</v>
      </c>
      <c r="L183" s="2">
        <f>$E183*AK183</f>
        <v>52.999999999999744</v>
      </c>
      <c r="M183" s="2">
        <f>$E183*(AB183/100)</f>
        <v>16.999539171320002</v>
      </c>
      <c r="N183" s="2">
        <f>$E183*AL183</f>
        <v>0.60622119815666797</v>
      </c>
      <c r="O183" s="2">
        <f>$E183*(AA183/100)</f>
        <v>110.4700460804</v>
      </c>
      <c r="P183" s="2">
        <f>$E183*AM183</f>
        <v>5.1550621669626686</v>
      </c>
      <c r="Q183" s="2">
        <f>$E183*AN183</f>
        <v>3.5999999999999606</v>
      </c>
      <c r="R183" s="2">
        <f>$E183*AQ183</f>
        <v>1.7825932504440192</v>
      </c>
      <c r="S183" s="2">
        <f>$E183*AO183</f>
        <v>16.999539170506885</v>
      </c>
      <c r="T183" s="2">
        <f>$E183*AP183</f>
        <v>5.1373271889400787</v>
      </c>
      <c r="U183" s="2">
        <f>S183-T183</f>
        <v>11.862211981566807</v>
      </c>
      <c r="V183" s="1">
        <f>F183/D183</f>
        <v>0.24312178739784035</v>
      </c>
      <c r="W183" s="1">
        <f>(F183+M183+N183+P183)/(D183+M183+N183+Q183)</f>
        <v>0.28184282838744656</v>
      </c>
      <c r="X183" s="1">
        <f>(G183+H183*2+I183*3+J183*4)/D183</f>
        <v>0.38704271500574189</v>
      </c>
      <c r="Y183" s="1">
        <f>W183+X183</f>
        <v>0.6688855433931884</v>
      </c>
      <c r="Z183">
        <v>0.297734628</v>
      </c>
      <c r="AA183">
        <v>23.963133639999999</v>
      </c>
      <c r="AB183">
        <v>3.687535612</v>
      </c>
      <c r="AD183" s="2">
        <f>(D183-O183-J183+Q183)*Z183</f>
        <v>93.784252022071101</v>
      </c>
      <c r="AE183">
        <v>0.231285408</v>
      </c>
      <c r="AF183">
        <v>0.74361702127659501</v>
      </c>
      <c r="AG183">
        <v>0.217391304347826</v>
      </c>
      <c r="AH183">
        <v>3.8575393154486499E-2</v>
      </c>
      <c r="AI183">
        <v>2.5162689804772102E-2</v>
      </c>
      <c r="AJ183">
        <v>0.12150904165458699</v>
      </c>
      <c r="AK183">
        <v>0.114967462039045</v>
      </c>
      <c r="AL183">
        <v>1.3150134450253101E-3</v>
      </c>
      <c r="AM183">
        <v>1.11823474337585E-2</v>
      </c>
      <c r="AN183">
        <v>7.8091106290671597E-3</v>
      </c>
      <c r="AO183">
        <v>3.6875356118236197E-2</v>
      </c>
      <c r="AP183">
        <v>1.1143876765596699E-2</v>
      </c>
      <c r="AQ183">
        <v>3.8667966387072E-3</v>
      </c>
    </row>
    <row r="184" spans="1:43" x14ac:dyDescent="0.4">
      <c r="A184" t="s">
        <v>61</v>
      </c>
      <c r="B184" s="3" t="s">
        <v>65</v>
      </c>
      <c r="C184" s="4">
        <f>K184*1.9+G184*2.6+H184*5.2+I184*7.8+J184*10.4+L184*1.9+S184*4.2+M184*2.6+P184*2.6</f>
        <v>768.64534561182484</v>
      </c>
      <c r="D184" s="2">
        <f>E184-M184-P184-Q184-R184</f>
        <v>386.61552180869666</v>
      </c>
      <c r="E184">
        <v>433</v>
      </c>
      <c r="F184" s="2">
        <f>AD184+J184</f>
        <v>100.21257537314241</v>
      </c>
      <c r="G184" s="2">
        <f>$AD184*AF184</f>
        <v>67.714507616295734</v>
      </c>
      <c r="H184" s="2">
        <f>$AD184*AG184</f>
        <v>19.737412533897832</v>
      </c>
      <c r="I184" s="2">
        <f>$AD184*AH184</f>
        <v>2.4292200041720355</v>
      </c>
      <c r="J184" s="2">
        <f>$E184*AI184</f>
        <v>10.635087719298232</v>
      </c>
      <c r="K184" s="2">
        <f>$E184*AJ184</f>
        <v>55.291604010024876</v>
      </c>
      <c r="L184" s="2">
        <f>$E184*AK184</f>
        <v>48.617543859648706</v>
      </c>
      <c r="M184" s="2">
        <f>$E184*(AB184/100)</f>
        <v>36.940651630796005</v>
      </c>
      <c r="N184" s="2">
        <f>$E184*AL184</f>
        <v>1.3673684210526034</v>
      </c>
      <c r="O184" s="2">
        <f>$E184*(AA184/100)</f>
        <v>99.658730176600002</v>
      </c>
      <c r="P184" s="2">
        <f>$E184*AM184</f>
        <v>6.4052300692792556</v>
      </c>
      <c r="Q184" s="2">
        <f>$E184*AN184</f>
        <v>3.0385964912280561</v>
      </c>
      <c r="R184" s="2">
        <f>$E184*AQ184</f>
        <v>0</v>
      </c>
      <c r="S184" s="2">
        <f>$E184*AO184</f>
        <v>11.969899749373381</v>
      </c>
      <c r="T184" s="2">
        <f>$E184*AP184</f>
        <v>3.0783876357560467</v>
      </c>
      <c r="U184" s="2">
        <f>S184-T184</f>
        <v>8.8915121136173347</v>
      </c>
      <c r="V184" s="1">
        <f>F184/D184</f>
        <v>0.25920473886904405</v>
      </c>
      <c r="W184" s="1">
        <f>(F184+M184+N184+P184)/(D184+M184+N184+Q184)</f>
        <v>0.33864169866154176</v>
      </c>
      <c r="X184" s="1">
        <f>(G184+H184*2+I184*3+J184*4)/D184</f>
        <v>0.4061330565292075</v>
      </c>
      <c r="Y184" s="1">
        <f>W184+X184</f>
        <v>0.74477475519074932</v>
      </c>
      <c r="Z184">
        <v>0.32065217400000001</v>
      </c>
      <c r="AA184">
        <v>23.015873020000001</v>
      </c>
      <c r="AB184">
        <v>8.5313283212000002</v>
      </c>
      <c r="AD184" s="2">
        <f>(D184-O184-J184+Q184)*Z184</f>
        <v>89.577487653844187</v>
      </c>
      <c r="AE184">
        <v>0.23136955200000001</v>
      </c>
      <c r="AF184">
        <v>0.75593220338983003</v>
      </c>
      <c r="AG184">
        <v>0.22033898305084701</v>
      </c>
      <c r="AH184">
        <v>2.7118644067796498E-2</v>
      </c>
      <c r="AI184">
        <v>2.4561403508771899E-2</v>
      </c>
      <c r="AJ184">
        <v>0.127694235588972</v>
      </c>
      <c r="AK184">
        <v>0.112280701754385</v>
      </c>
      <c r="AL184">
        <v>3.1578947368420401E-3</v>
      </c>
      <c r="AM184">
        <v>1.4792679143832E-2</v>
      </c>
      <c r="AN184">
        <v>7.01754385964909E-3</v>
      </c>
      <c r="AO184">
        <v>2.76441102756891E-2</v>
      </c>
      <c r="AP184">
        <v>7.1094402673349804E-3</v>
      </c>
      <c r="AQ184">
        <v>0</v>
      </c>
    </row>
    <row r="185" spans="1:43" x14ac:dyDescent="0.4">
      <c r="A185" t="s">
        <v>61</v>
      </c>
      <c r="B185" t="s">
        <v>66</v>
      </c>
      <c r="C185" s="4">
        <f>K185*1.9+G185*2.6+H185*5.2+I185*7.8+J185*10.4+L185*1.9+S185*4.2+M185*2.6+P185*2.6</f>
        <v>767.49503659749109</v>
      </c>
      <c r="D185" s="2">
        <f>E185-M185-P185-Q185-R185</f>
        <v>402.0987250741826</v>
      </c>
      <c r="E185">
        <v>447</v>
      </c>
      <c r="F185" s="2">
        <f>AD185+J185</f>
        <v>111.75292579780475</v>
      </c>
      <c r="G185" s="2">
        <f>$AD185*AF185</f>
        <v>76.746723519053532</v>
      </c>
      <c r="H185" s="2">
        <f>$AD185*AG185</f>
        <v>22.851179046924774</v>
      </c>
      <c r="I185" s="2">
        <f>$AD185*AH185</f>
        <v>1.0116000832628034</v>
      </c>
      <c r="J185" s="2">
        <f>$E185*AI185</f>
        <v>10.999999999999984</v>
      </c>
      <c r="K185" s="2">
        <f>$E185*AJ185</f>
        <v>52.969499999999996</v>
      </c>
      <c r="L185" s="2">
        <f>$E185*AK185</f>
        <v>54.999999999999922</v>
      </c>
      <c r="M185" s="2">
        <f>$E185*(AB185/100)</f>
        <v>33.960902255010005</v>
      </c>
      <c r="N185" s="2">
        <f>$E185*AL185</f>
        <v>1.4120300751879384</v>
      </c>
      <c r="O185" s="2">
        <f>$E185*(AA185/100)</f>
        <v>58.2556390815</v>
      </c>
      <c r="P185" s="2">
        <f>$E185*AM185</f>
        <v>7.9403726708073945</v>
      </c>
      <c r="Q185" s="2">
        <f>$E185*AN185</f>
        <v>2.9999999999999756</v>
      </c>
      <c r="R185" s="2">
        <f>$E185*AQ185</f>
        <v>0</v>
      </c>
      <c r="S185" s="2">
        <f>$E185*AO185</f>
        <v>3.0360902255638877</v>
      </c>
      <c r="T185" s="2">
        <f>$E185*AP185</f>
        <v>0.89999999999996594</v>
      </c>
      <c r="U185" s="2">
        <f>S185-T185</f>
        <v>2.1360902255639216</v>
      </c>
      <c r="V185" s="1">
        <f>F185/D185</f>
        <v>0.27792409880729568</v>
      </c>
      <c r="W185" s="1">
        <f>(F185+M185+N185+P185)/(D185+M185+N185+Q185)</f>
        <v>0.35204587671449106</v>
      </c>
      <c r="X185" s="1">
        <f>(G185+H185*2+I185*3+J185*4)/D185</f>
        <v>0.42149818264512923</v>
      </c>
      <c r="Y185" s="1">
        <f>W185+X185</f>
        <v>0.77354405935962034</v>
      </c>
      <c r="Z185">
        <v>0.3</v>
      </c>
      <c r="AA185">
        <v>13.03258145</v>
      </c>
      <c r="AB185">
        <v>7.5975172830000002</v>
      </c>
      <c r="AD185" s="2">
        <f>(D185-O185-J185+Q185)*Z185</f>
        <v>100.75292579780476</v>
      </c>
      <c r="AE185">
        <v>0.24838686900000001</v>
      </c>
      <c r="AF185">
        <v>0.76173195876288602</v>
      </c>
      <c r="AG185">
        <v>0.22680412371134001</v>
      </c>
      <c r="AH185">
        <v>1.0040404040404001E-2</v>
      </c>
      <c r="AI185">
        <v>2.4608501118568198E-2</v>
      </c>
      <c r="AJ185">
        <v>0.11849999999999999</v>
      </c>
      <c r="AK185">
        <v>0.12304250559284099</v>
      </c>
      <c r="AL185">
        <v>3.1589039713376698E-3</v>
      </c>
      <c r="AM185">
        <v>1.7763697250128399E-2</v>
      </c>
      <c r="AN185">
        <v>6.7114093959730996E-3</v>
      </c>
      <c r="AO185">
        <v>6.79214815562391E-3</v>
      </c>
      <c r="AP185">
        <v>2.0134228187918702E-3</v>
      </c>
      <c r="AQ185">
        <v>0</v>
      </c>
    </row>
    <row r="186" spans="1:43" x14ac:dyDescent="0.4">
      <c r="A186" t="s">
        <v>31</v>
      </c>
      <c r="B186" s="3" t="s">
        <v>33</v>
      </c>
      <c r="C186" s="4">
        <f>K186*1.9+G186*2.6+H186*5.2+I186*7.8+J186*10.4+L186*1.9+S186*4.2+M186*2.6+P186*2.6</f>
        <v>765.68941490267559</v>
      </c>
      <c r="D186" s="2">
        <f>E186-M186-P186-Q186-R186</f>
        <v>476.913436643708</v>
      </c>
      <c r="E186">
        <v>515</v>
      </c>
      <c r="F186" s="2">
        <f>AD186+J186</f>
        <v>130.78854865588335</v>
      </c>
      <c r="G186" s="2">
        <f>$AD186*AF186</f>
        <v>96.138344654106689</v>
      </c>
      <c r="H186" s="2">
        <f>$AD186*AG186</f>
        <v>24.679303411831267</v>
      </c>
      <c r="I186" s="2">
        <f>$AD186*AH186</f>
        <v>2.1316668261110103</v>
      </c>
      <c r="J186" s="2">
        <f>$E186*AI186</f>
        <v>6.3190184049079505</v>
      </c>
      <c r="K186" s="2">
        <f>$E186*AJ186</f>
        <v>61.100047192071287</v>
      </c>
      <c r="L186" s="2">
        <f>$E186*AK186</f>
        <v>47.392638036809807</v>
      </c>
      <c r="M186" s="2">
        <f>$E186*(AB186/100)</f>
        <v>25.766781275515001</v>
      </c>
      <c r="N186" s="2">
        <f>$E186*AL186</f>
        <v>0.94785276073618485</v>
      </c>
      <c r="O186" s="2">
        <f>$E186*(AA186/100)</f>
        <v>50.934065933500001</v>
      </c>
      <c r="P186" s="2">
        <f>$E186*AM186</f>
        <v>5.5439513036809496</v>
      </c>
      <c r="Q186" s="2">
        <f>$E186*AN186</f>
        <v>3.5807770961144967</v>
      </c>
      <c r="R186" s="2">
        <f>$E186*AQ186</f>
        <v>3.1950536809815797</v>
      </c>
      <c r="S186" s="2">
        <f>$E186*AO186</f>
        <v>4.1687004202341615</v>
      </c>
      <c r="T186" s="2">
        <f>$E186*AP186</f>
        <v>1.1364974493808704</v>
      </c>
      <c r="U186" s="2">
        <f>S186-T186</f>
        <v>3.0322029708532909</v>
      </c>
      <c r="V186" s="1">
        <f>F186/D186</f>
        <v>0.27423959697238037</v>
      </c>
      <c r="W186" s="1">
        <f>(F186+M186+N186+P186)/(D186+M186+N186+Q186)</f>
        <v>0.32145956189588942</v>
      </c>
      <c r="X186" s="1">
        <f>(G186+H186*2+I186*3+J186*4)/D186</f>
        <v>0.37148885303496398</v>
      </c>
      <c r="Y186" s="1">
        <f>W186+X186</f>
        <v>0.69294841493085335</v>
      </c>
      <c r="Z186">
        <v>0.29408656579999998</v>
      </c>
      <c r="AA186">
        <v>9.8901098899999997</v>
      </c>
      <c r="AB186">
        <v>5.0032585001000003</v>
      </c>
      <c r="AD186" s="2">
        <f>(D186-O186-J186+Q186)*Z186</f>
        <v>124.46953025097541</v>
      </c>
      <c r="AE186">
        <v>0.25453689200000001</v>
      </c>
      <c r="AF186">
        <v>0.77238457042665098</v>
      </c>
      <c r="AG186">
        <v>0.198275862068965</v>
      </c>
      <c r="AH186">
        <v>1.7126013264553999E-2</v>
      </c>
      <c r="AI186">
        <v>1.22699386503067E-2</v>
      </c>
      <c r="AJ186">
        <v>0.11864086833411901</v>
      </c>
      <c r="AK186">
        <v>9.2024539877300596E-2</v>
      </c>
      <c r="AL186">
        <v>1.8404907975459899E-3</v>
      </c>
      <c r="AM186">
        <v>1.0764953987729999E-2</v>
      </c>
      <c r="AN186">
        <v>6.9529652351737799E-3</v>
      </c>
      <c r="AO186">
        <v>8.0945639227847799E-3</v>
      </c>
      <c r="AP186">
        <v>2.2067911638463502E-3</v>
      </c>
      <c r="AQ186">
        <v>6.2039877300613198E-3</v>
      </c>
    </row>
    <row r="187" spans="1:43" x14ac:dyDescent="0.4">
      <c r="A187" t="s">
        <v>20</v>
      </c>
      <c r="B187" t="s">
        <v>24</v>
      </c>
      <c r="C187" s="4">
        <f>K187*1.9+G187*2.6+H187*5.2+I187*7.8+J187*10.4+L187*1.9+S187*4.2+M187*2.6+P187*2.6</f>
        <v>760.53429651211536</v>
      </c>
      <c r="D187" s="2">
        <f>E187-M187-P187-Q187-R187</f>
        <v>403.18798434999354</v>
      </c>
      <c r="E187">
        <v>450</v>
      </c>
      <c r="F187" s="2">
        <f>AD187+J187</f>
        <v>112.26941045999236</v>
      </c>
      <c r="G187" s="2">
        <f>$AD187*AF187</f>
        <v>79.517249462893034</v>
      </c>
      <c r="H187" s="2">
        <f>$AD187*AG187</f>
        <v>22.057543981745866</v>
      </c>
      <c r="I187" s="2">
        <f>$AD187*AH187</f>
        <v>1.4174232808234213</v>
      </c>
      <c r="J187" s="2">
        <f>$E187*AI187</f>
        <v>9</v>
      </c>
      <c r="K187" s="2">
        <f>$E187*AJ187</f>
        <v>52.487573964496654</v>
      </c>
      <c r="L187" s="2">
        <f>$E187*AK187</f>
        <v>52.999999999999645</v>
      </c>
      <c r="M187" s="2">
        <f>$E187*(AB187/100)</f>
        <v>38.549112424199997</v>
      </c>
      <c r="N187" s="2">
        <f>$E187*AL187</f>
        <v>0.98875739644969496</v>
      </c>
      <c r="O187" s="2">
        <f>$E187*(AA187/100)</f>
        <v>73.66863905999999</v>
      </c>
      <c r="P187" s="2">
        <f>$E187*AM187</f>
        <v>4.8629032258064404</v>
      </c>
      <c r="Q187" s="2">
        <f>$E187*AN187</f>
        <v>3.3999999999999662</v>
      </c>
      <c r="R187" s="2">
        <f>$E187*AQ187</f>
        <v>0</v>
      </c>
      <c r="S187" s="2">
        <f>$E187*AO187</f>
        <v>5.0325443786982147</v>
      </c>
      <c r="T187" s="2">
        <f>$E187*AP187</f>
        <v>1.0775147928993989</v>
      </c>
      <c r="U187" s="2">
        <f>S187-T187</f>
        <v>3.9550295857988158</v>
      </c>
      <c r="V187" s="1">
        <f>F187/D187</f>
        <v>0.27845425661925272</v>
      </c>
      <c r="W187" s="1">
        <f>(F187+M187+N187+P187)/(D187+M187+N187+Q187)</f>
        <v>0.35117934108011173</v>
      </c>
      <c r="X187" s="1">
        <f>(G187+H187*2+I187*3+J187*4)/D187</f>
        <v>0.40647195261303343</v>
      </c>
      <c r="Y187" s="1">
        <f>W187+X187</f>
        <v>0.75765129369314521</v>
      </c>
      <c r="Z187">
        <v>0.3188121116</v>
      </c>
      <c r="AA187">
        <v>16.37080868</v>
      </c>
      <c r="AB187">
        <v>8.5664694275999995</v>
      </c>
      <c r="AD187" s="2">
        <f>(D187-O187-J187+Q187)*Z187</f>
        <v>103.26941045999236</v>
      </c>
      <c r="AE187">
        <v>0.24761383300000001</v>
      </c>
      <c r="AF187">
        <v>0.76999809632590899</v>
      </c>
      <c r="AG187">
        <v>0.213592233009708</v>
      </c>
      <c r="AH187">
        <v>1.37254901960784E-2</v>
      </c>
      <c r="AI187">
        <v>0.02</v>
      </c>
      <c r="AJ187">
        <v>0.11663905325443701</v>
      </c>
      <c r="AK187">
        <v>0.117777777777777</v>
      </c>
      <c r="AL187">
        <v>2.1972386587770999E-3</v>
      </c>
      <c r="AM187">
        <v>1.08064516129032E-2</v>
      </c>
      <c r="AN187">
        <v>7.5555555555554803E-3</v>
      </c>
      <c r="AO187">
        <v>1.1183431952662699E-2</v>
      </c>
      <c r="AP187">
        <v>2.3944773175542198E-3</v>
      </c>
      <c r="AQ187">
        <v>0</v>
      </c>
    </row>
    <row r="188" spans="1:43" x14ac:dyDescent="0.4">
      <c r="A188" t="s">
        <v>214</v>
      </c>
      <c r="B188" t="s">
        <v>218</v>
      </c>
      <c r="C188" s="4">
        <f>K188*1.9+G188*2.6+H188*5.2+I188*7.8+J188*10.4+L188*1.9+S188*4.2+M188*2.6+P188*2.6</f>
        <v>753.81825781103942</v>
      </c>
      <c r="D188" s="2">
        <f>E188-M188-P188-Q188-R188</f>
        <v>417.26535980167012</v>
      </c>
      <c r="E188">
        <v>471</v>
      </c>
      <c r="F188" s="2">
        <f>AD188+J188</f>
        <v>93.00519989581872</v>
      </c>
      <c r="G188" s="2">
        <f>$AD188*AF188</f>
        <v>59.019480850161173</v>
      </c>
      <c r="H188" s="2">
        <f>$AD188*AG188</f>
        <v>17.089459717258634</v>
      </c>
      <c r="I188" s="2">
        <f>$AD188*AH188</f>
        <v>0.40210493452373131</v>
      </c>
      <c r="J188" s="2">
        <f>$E188*AI188</f>
        <v>15.599999999999929</v>
      </c>
      <c r="K188" s="2">
        <f>$E188*AJ188</f>
        <v>50.654945054944903</v>
      </c>
      <c r="L188" s="2">
        <f>$E188*AK188</f>
        <v>53.999999999999808</v>
      </c>
      <c r="M188" s="2">
        <f>$E188*(AB188/100)</f>
        <v>46.230769230588002</v>
      </c>
      <c r="N188" s="2">
        <f>$E188*AL188</f>
        <v>1.9725274725274393</v>
      </c>
      <c r="O188" s="2">
        <f>$E188*(AA188/100)</f>
        <v>126.80769229320001</v>
      </c>
      <c r="P188" s="2">
        <f>$E188*AM188</f>
        <v>3.9038709677419172</v>
      </c>
      <c r="Q188" s="2">
        <f>$E188*AN188</f>
        <v>3.5999999999999726</v>
      </c>
      <c r="R188" s="2">
        <f>$E188*AQ188</f>
        <v>0</v>
      </c>
      <c r="S188" s="2">
        <f>$E188*AO188</f>
        <v>4.0313186813186608</v>
      </c>
      <c r="T188" s="2">
        <f>$E188*AP188</f>
        <v>1.0725274725274334</v>
      </c>
      <c r="U188" s="2">
        <f>S188-T188</f>
        <v>2.9587912087912276</v>
      </c>
      <c r="V188" s="1">
        <f>F188/D188</f>
        <v>0.22289221405779983</v>
      </c>
      <c r="W188" s="1">
        <f>(F188+M188+N188+P188)/(D188+M188+N188+Q188)</f>
        <v>0.30936274584613099</v>
      </c>
      <c r="X188" s="1">
        <f>(G188+H188*2+I188*3+J188*4)/D188</f>
        <v>0.37579135532070046</v>
      </c>
      <c r="Y188" s="1">
        <f>W188+X188</f>
        <v>0.6851541011668314</v>
      </c>
      <c r="Z188">
        <v>0.27797833900000002</v>
      </c>
      <c r="AA188">
        <v>26.92307692</v>
      </c>
      <c r="AB188">
        <v>9.8154499428000008</v>
      </c>
      <c r="AD188" s="2">
        <f>(D188-O188-J188+Q188)*Z188</f>
        <v>77.405199895818797</v>
      </c>
      <c r="AE188">
        <v>0.201808286</v>
      </c>
      <c r="AF188">
        <v>0.76247436773752497</v>
      </c>
      <c r="AG188">
        <v>0.22077922077921999</v>
      </c>
      <c r="AH188">
        <v>5.1948051948051601E-3</v>
      </c>
      <c r="AI188">
        <v>3.3121019108280102E-2</v>
      </c>
      <c r="AJ188">
        <v>0.107547654044469</v>
      </c>
      <c r="AK188">
        <v>0.11464968152866201</v>
      </c>
      <c r="AL188">
        <v>4.1879564172557096E-3</v>
      </c>
      <c r="AM188">
        <v>8.2884733922333701E-3</v>
      </c>
      <c r="AN188">
        <v>7.6433121019107699E-3</v>
      </c>
      <c r="AO188">
        <v>8.5590630176617007E-3</v>
      </c>
      <c r="AP188">
        <v>2.27712839177799E-3</v>
      </c>
      <c r="AQ188">
        <v>0</v>
      </c>
    </row>
    <row r="189" spans="1:43" x14ac:dyDescent="0.4">
      <c r="A189" t="s">
        <v>94</v>
      </c>
      <c r="B189" s="3" t="s">
        <v>98</v>
      </c>
      <c r="C189" s="4">
        <f>K189*1.9+G189*2.6+H189*5.2+I189*7.8+J189*10.4+L189*1.9+S189*4.2+M189*2.6+P189*2.6</f>
        <v>753.38713090975079</v>
      </c>
      <c r="D189" s="2">
        <f>E189-M189-P189-Q189-R189</f>
        <v>397.0277187514194</v>
      </c>
      <c r="E189">
        <v>445</v>
      </c>
      <c r="F189" s="2">
        <f>AD189+J189</f>
        <v>93.02041882826552</v>
      </c>
      <c r="G189" s="2">
        <f>$AD189*AF189</f>
        <v>53.945537557628903</v>
      </c>
      <c r="H189" s="2">
        <f>$AD189*AG189</f>
        <v>20.841932407708725</v>
      </c>
      <c r="I189" s="2">
        <f>$AD189*AH189</f>
        <v>1.0083525393443795</v>
      </c>
      <c r="J189" s="2">
        <f>$E189*AI189</f>
        <v>16.599999999999977</v>
      </c>
      <c r="K189" s="2">
        <f>$E189*AJ189</f>
        <v>54.266820276497384</v>
      </c>
      <c r="L189" s="2">
        <f>$E189*AK189</f>
        <v>53.999999999999744</v>
      </c>
      <c r="M189" s="2">
        <f>$E189*(AB189/100)</f>
        <v>39.919124425769994</v>
      </c>
      <c r="N189" s="2">
        <f>$E189*AL189</f>
        <v>1.4025345622119636</v>
      </c>
      <c r="O189" s="2">
        <f>$E189*(AA189/100)</f>
        <v>97.407834093999995</v>
      </c>
      <c r="P189" s="2">
        <f>$E189*AM189</f>
        <v>4.053156822810581</v>
      </c>
      <c r="Q189" s="2">
        <f>$E189*AN189</f>
        <v>3.9999999999999911</v>
      </c>
      <c r="R189" s="2">
        <f>$E189*AQ189</f>
        <v>0</v>
      </c>
      <c r="S189" s="2">
        <f>$E189*AO189</f>
        <v>1.0025345622119557</v>
      </c>
      <c r="T189" s="2">
        <f>$E189*AP189</f>
        <v>1.0025345622119557</v>
      </c>
      <c r="U189" s="2">
        <f>S189-T189</f>
        <v>0</v>
      </c>
      <c r="V189" s="1">
        <f>F189/D189</f>
        <v>0.2342920013766242</v>
      </c>
      <c r="W189" s="1">
        <f>(F189+M189+N189+P189)/(D189+M189+N189+Q189)</f>
        <v>0.31286408798926818</v>
      </c>
      <c r="X189" s="1">
        <f>(G189+H189*2+I189*3+J189*4)/D189</f>
        <v>0.41572528112179652</v>
      </c>
      <c r="Y189" s="1">
        <f>W189+X189</f>
        <v>0.72858936911106476</v>
      </c>
      <c r="Z189">
        <v>0.26625478899999999</v>
      </c>
      <c r="AA189">
        <v>21.88940092</v>
      </c>
      <c r="AB189">
        <v>8.9705897585999992</v>
      </c>
      <c r="AD189" s="2">
        <f>(D189-O189-J189+Q189)*Z189</f>
        <v>76.420418828265539</v>
      </c>
      <c r="AE189">
        <v>0.20957822000000001</v>
      </c>
      <c r="AF189">
        <v>0.70590476190476104</v>
      </c>
      <c r="AG189">
        <v>0.27272727272727199</v>
      </c>
      <c r="AH189">
        <v>1.31948051948051E-2</v>
      </c>
      <c r="AI189">
        <v>3.7303370786516798E-2</v>
      </c>
      <c r="AJ189">
        <v>0.12194791073370199</v>
      </c>
      <c r="AK189">
        <v>0.121348314606741</v>
      </c>
      <c r="AL189">
        <v>3.1517630611504802E-3</v>
      </c>
      <c r="AM189">
        <v>9.1082175793496204E-3</v>
      </c>
      <c r="AN189">
        <v>8.9887640449438002E-3</v>
      </c>
      <c r="AO189">
        <v>2.2528866566560802E-3</v>
      </c>
      <c r="AP189">
        <v>2.2528866566560802E-3</v>
      </c>
      <c r="AQ189">
        <v>0</v>
      </c>
    </row>
    <row r="190" spans="1:43" x14ac:dyDescent="0.4">
      <c r="A190" t="s">
        <v>39</v>
      </c>
      <c r="B190" t="s">
        <v>48</v>
      </c>
      <c r="C190" s="4">
        <f>K190*1.9+G190*2.6+H190*5.2+I190*7.8+J190*10.4+L190*1.9+S190*4.2+M190*2.6+P190*2.6</f>
        <v>749.65334250891328</v>
      </c>
      <c r="D190" s="2">
        <f>E190-M190-P190-Q190-R190</f>
        <v>374.88317821401756</v>
      </c>
      <c r="E190">
        <v>428</v>
      </c>
      <c r="F190" s="2">
        <f>AD190+J190</f>
        <v>89.099295253212077</v>
      </c>
      <c r="G190" s="2">
        <f>$AD190*AF190</f>
        <v>53.26764599302782</v>
      </c>
      <c r="H190" s="2">
        <f>$AD190*AG190</f>
        <v>19.026202914042013</v>
      </c>
      <c r="I190" s="2">
        <f>$AD190*AH190</f>
        <v>1.0241871720073932</v>
      </c>
      <c r="J190" s="2">
        <f>$E190*AI190</f>
        <v>17</v>
      </c>
      <c r="K190" s="2">
        <f>$E190*AJ190</f>
        <v>50.531468531468377</v>
      </c>
      <c r="L190" s="2">
        <f>$E190*AK190</f>
        <v>52.999999999999751</v>
      </c>
      <c r="M190" s="2">
        <f>$E190*(AB190/100)</f>
        <v>40.990442889100002</v>
      </c>
      <c r="N190" s="2">
        <f>$E190*AL190</f>
        <v>0.99976689976688249</v>
      </c>
      <c r="O190" s="2">
        <f>$E190*(AA190/100)</f>
        <v>100.7645687512</v>
      </c>
      <c r="P190" s="2">
        <f>$E190*AM190</f>
        <v>9.1263788968824517</v>
      </c>
      <c r="Q190" s="2">
        <f>$E190*AN190</f>
        <v>2.9999999999999898</v>
      </c>
      <c r="R190" s="2">
        <f>$E190*AQ190</f>
        <v>0</v>
      </c>
      <c r="S190" s="2">
        <f>$E190*AO190</f>
        <v>9.976689976689844E-2</v>
      </c>
      <c r="T190" s="2">
        <f>$E190*AP190</f>
        <v>0</v>
      </c>
      <c r="U190" s="2">
        <f>S190-T190</f>
        <v>9.976689976689844E-2</v>
      </c>
      <c r="V190" s="1">
        <f>F190/D190</f>
        <v>0.23767216143890579</v>
      </c>
      <c r="W190" s="1">
        <f>(F190+M190+N190+P190)/(D190+M190+N190+Q190)</f>
        <v>0.33394801372359934</v>
      </c>
      <c r="X190" s="1">
        <f>(G190+H190*2+I190*3+J190*4)/D190</f>
        <v>0.43318191579251258</v>
      </c>
      <c r="Y190" s="1">
        <f>W190+X190</f>
        <v>0.76712992951611192</v>
      </c>
      <c r="Z190">
        <v>0.2771785356</v>
      </c>
      <c r="AA190">
        <v>23.54312354</v>
      </c>
      <c r="AB190">
        <v>9.5772062825000006</v>
      </c>
      <c r="AD190" s="2">
        <f>(D190-O190-J190+Q190)*Z190</f>
        <v>72.099295253212077</v>
      </c>
      <c r="AE190">
        <v>0.204233209</v>
      </c>
      <c r="AF190">
        <v>0.73880952380952303</v>
      </c>
      <c r="AG190">
        <v>0.26388888888888801</v>
      </c>
      <c r="AH190">
        <v>1.42052313883299E-2</v>
      </c>
      <c r="AI190">
        <v>3.9719626168224297E-2</v>
      </c>
      <c r="AJ190">
        <v>0.118064178811842</v>
      </c>
      <c r="AK190">
        <v>0.123831775700934</v>
      </c>
      <c r="AL190">
        <v>2.3359039714179498E-3</v>
      </c>
      <c r="AM190">
        <v>2.1323315179631899E-2</v>
      </c>
      <c r="AN190">
        <v>7.0093457943924999E-3</v>
      </c>
      <c r="AO190">
        <v>2.3310023310023001E-4</v>
      </c>
      <c r="AP190">
        <v>0</v>
      </c>
      <c r="AQ190">
        <v>0</v>
      </c>
    </row>
    <row r="191" spans="1:43" x14ac:dyDescent="0.4">
      <c r="A191" t="s">
        <v>189</v>
      </c>
      <c r="B191" t="s">
        <v>196</v>
      </c>
      <c r="C191" s="4">
        <f>K191*1.9+G191*2.6+H191*5.2+I191*7.8+J191*10.4+L191*1.9+S191*4.2+M191*2.6+P191*2.6</f>
        <v>744.26998068598675</v>
      </c>
      <c r="D191" s="2">
        <f>E191-M191-P191-Q191-R191</f>
        <v>402.18458633182206</v>
      </c>
      <c r="E191">
        <v>449</v>
      </c>
      <c r="F191" s="2">
        <f>AD191+J191</f>
        <v>94.636996307888495</v>
      </c>
      <c r="G191" s="2">
        <f>$AD191*AF191</f>
        <v>59.575969758607229</v>
      </c>
      <c r="H191" s="2">
        <f>$AD191*AG191</f>
        <v>20.059249076972129</v>
      </c>
      <c r="I191" s="2">
        <f>$AD191*AH191</f>
        <v>1.9387069654639708</v>
      </c>
      <c r="J191" s="2">
        <f>$E191*AI191</f>
        <v>14.399999999999974</v>
      </c>
      <c r="K191" s="2">
        <f>$E191*AJ191</f>
        <v>51.981086519114392</v>
      </c>
      <c r="L191" s="2">
        <f>$E191*AK191</f>
        <v>51.999999999999645</v>
      </c>
      <c r="M191" s="2">
        <f>$E191*(AB191/100)</f>
        <v>38.804024146537998</v>
      </c>
      <c r="N191" s="2">
        <f>$E191*AL191</f>
        <v>0.39999999999998209</v>
      </c>
      <c r="O191" s="2">
        <f>$E191*(AA191/100)</f>
        <v>90.3420523315</v>
      </c>
      <c r="P191" s="2">
        <f>$E191*AM191</f>
        <v>5.0113895216400195</v>
      </c>
      <c r="Q191" s="2">
        <f>$E191*AN191</f>
        <v>2.9999999999999551</v>
      </c>
      <c r="R191" s="2">
        <f>$E191*AQ191</f>
        <v>0</v>
      </c>
      <c r="S191" s="2">
        <f>$E191*AO191</f>
        <v>2.071026156941608</v>
      </c>
      <c r="T191" s="2">
        <f>$E191*AP191</f>
        <v>0</v>
      </c>
      <c r="U191" s="2">
        <f>S191-T191</f>
        <v>2.071026156941608</v>
      </c>
      <c r="V191" s="1">
        <f>F191/D191</f>
        <v>0.23530736762201104</v>
      </c>
      <c r="W191" s="1">
        <f>(F191+M191+N191+P191)/(D191+M191+N191+Q191)</f>
        <v>0.31245717532364181</v>
      </c>
      <c r="X191" s="1">
        <f>(G191+H191*2+I191*3+J191*4)/D191</f>
        <v>0.4055615116845106</v>
      </c>
      <c r="Y191" s="1">
        <f>W191+X191</f>
        <v>0.71801868700815241</v>
      </c>
      <c r="Z191">
        <v>0.26706270659999998</v>
      </c>
      <c r="AA191">
        <v>20.12072435</v>
      </c>
      <c r="AB191">
        <v>8.6423216362000002</v>
      </c>
      <c r="AD191" s="2">
        <f>(D191-O191-J191+Q191)*Z191</f>
        <v>80.236996307888518</v>
      </c>
      <c r="AE191">
        <v>0.217792184</v>
      </c>
      <c r="AF191">
        <v>0.74250000000000005</v>
      </c>
      <c r="AG191">
        <v>0.25</v>
      </c>
      <c r="AH191">
        <v>2.4162257495590801E-2</v>
      </c>
      <c r="AI191">
        <v>3.2071269487750499E-2</v>
      </c>
      <c r="AJ191">
        <v>0.11577079402920799</v>
      </c>
      <c r="AK191">
        <v>0.11581291759465399</v>
      </c>
      <c r="AL191">
        <v>8.9086859688192004E-4</v>
      </c>
      <c r="AM191">
        <v>1.1161223878931001E-2</v>
      </c>
      <c r="AN191">
        <v>6.6815144766145997E-3</v>
      </c>
      <c r="AO191">
        <v>4.6125304163510197E-3</v>
      </c>
      <c r="AP191">
        <v>0</v>
      </c>
      <c r="AQ191">
        <v>0</v>
      </c>
    </row>
    <row r="192" spans="1:43" x14ac:dyDescent="0.4">
      <c r="A192" t="s">
        <v>172</v>
      </c>
      <c r="B192" t="s">
        <v>176</v>
      </c>
      <c r="C192" s="4">
        <f>K192*1.9+G192*2.6+H192*5.2+I192*7.8+J192*10.4+L192*1.9+S192*4.2+M192*2.6+P192*2.6</f>
        <v>743.55709594895961</v>
      </c>
      <c r="D192" s="2">
        <f>E192-M192-P192-Q192-R192</f>
        <v>444.77776777655504</v>
      </c>
      <c r="E192">
        <v>490</v>
      </c>
      <c r="F192" s="2">
        <f>AD192+J192</f>
        <v>111.96186804105223</v>
      </c>
      <c r="G192" s="2">
        <f>$AD192*AF192</f>
        <v>79.412754560211681</v>
      </c>
      <c r="H192" s="2">
        <f>$AD192*AG192</f>
        <v>22.969304009122702</v>
      </c>
      <c r="I192" s="2">
        <f>$AD192*AH192</f>
        <v>0.99386411577934708</v>
      </c>
      <c r="J192" s="2">
        <f>$E192*AI192</f>
        <v>8.5999999999999694</v>
      </c>
      <c r="K192" s="2">
        <f>$E192*AJ192</f>
        <v>53.27272727272706</v>
      </c>
      <c r="L192" s="2">
        <f>$E192*AK192</f>
        <v>47.999999999999957</v>
      </c>
      <c r="M192" s="2">
        <f>$E192*(AB192/100)</f>
        <v>32.072727272949997</v>
      </c>
      <c r="N192" s="2">
        <f>$E192*AL192</f>
        <v>0.99090909090907664</v>
      </c>
      <c r="O192" s="2">
        <f>$E192*(AA192/100)</f>
        <v>61.818181802999995</v>
      </c>
      <c r="P192" s="2">
        <f>$E192*AM192</f>
        <v>9.1673267326732493</v>
      </c>
      <c r="Q192" s="2">
        <f>$E192*AN192</f>
        <v>2.9999999999999818</v>
      </c>
      <c r="R192" s="2">
        <f>$E192*AQ192</f>
        <v>0.98217821782175141</v>
      </c>
      <c r="S192" s="2">
        <f>$E192*AO192</f>
        <v>4.9545454545454071</v>
      </c>
      <c r="T192" s="2">
        <f>$E192*AP192</f>
        <v>0.99090909090907664</v>
      </c>
      <c r="U192" s="2">
        <f>S192-T192</f>
        <v>3.9636363636363305</v>
      </c>
      <c r="V192" s="1">
        <f>F192/D192</f>
        <v>0.25172541469585996</v>
      </c>
      <c r="W192" s="1">
        <f>(F192+M192+N192+P192)/(D192+M192+N192+Q192)</f>
        <v>0.32067294914677841</v>
      </c>
      <c r="X192" s="1">
        <f>(G192+H192*2+I192*3+J192*4)/D192</f>
        <v>0.36587475075316239</v>
      </c>
      <c r="Y192" s="1">
        <f>W192+X192</f>
        <v>0.6865476998999408</v>
      </c>
      <c r="Z192">
        <v>0.2739081552</v>
      </c>
      <c r="AA192">
        <v>12.615955469999999</v>
      </c>
      <c r="AB192">
        <v>6.5454545455000002</v>
      </c>
      <c r="AD192" s="2">
        <f>(D192-O192-J192+Q192)*Z192</f>
        <v>103.36186804105226</v>
      </c>
      <c r="AE192">
        <v>0.23244741999999999</v>
      </c>
      <c r="AF192">
        <v>0.76829836829836795</v>
      </c>
      <c r="AG192">
        <v>0.22222222222222199</v>
      </c>
      <c r="AH192">
        <v>9.6153846153846003E-3</v>
      </c>
      <c r="AI192">
        <v>1.7551020408163202E-2</v>
      </c>
      <c r="AJ192">
        <v>0.108719851576994</v>
      </c>
      <c r="AK192">
        <v>9.7959183673469299E-2</v>
      </c>
      <c r="AL192">
        <v>2.0222634508348502E-3</v>
      </c>
      <c r="AM192">
        <v>1.8708830066680102E-2</v>
      </c>
      <c r="AN192">
        <v>6.1224489795918E-3</v>
      </c>
      <c r="AO192">
        <v>1.01113172541743E-2</v>
      </c>
      <c r="AP192">
        <v>2.0222634508348502E-3</v>
      </c>
      <c r="AQ192">
        <v>2.0044453424933701E-3</v>
      </c>
    </row>
    <row r="193" spans="1:43" x14ac:dyDescent="0.4">
      <c r="A193" t="s">
        <v>267</v>
      </c>
      <c r="B193" t="s">
        <v>272</v>
      </c>
      <c r="C193" s="4">
        <f>K193*1.9+G193*2.6+H193*5.2+I193*7.8+J193*10.4+L193*1.9+S193*4.2+M193*2.6+P193*2.6</f>
        <v>720.22687646531779</v>
      </c>
      <c r="D193" s="2">
        <f>E193-M193-P193-Q193-R193</f>
        <v>448.08848177570269</v>
      </c>
      <c r="E193">
        <v>483</v>
      </c>
      <c r="F193" s="2">
        <f>AD193+J193</f>
        <v>107.022536728654</v>
      </c>
      <c r="G193" s="2">
        <f>$AD193*AF193</f>
        <v>72.365229089621621</v>
      </c>
      <c r="H193" s="2">
        <f>$AD193*AG193</f>
        <v>21.321217970986371</v>
      </c>
      <c r="I193" s="2">
        <f>$AD193*AH193</f>
        <v>0</v>
      </c>
      <c r="J193" s="2">
        <f>$E193*AI193</f>
        <v>12.599999999999985</v>
      </c>
      <c r="K193" s="2">
        <f>$E193*AJ193</f>
        <v>46.783749999999969</v>
      </c>
      <c r="L193" s="2">
        <f>$E193*AK193</f>
        <v>56.999999999999787</v>
      </c>
      <c r="M193" s="2">
        <f>$E193*(AB193/100)</f>
        <v>25.015625000478003</v>
      </c>
      <c r="N193" s="2">
        <f>$E193*AL193</f>
        <v>0.89999999999999969</v>
      </c>
      <c r="O193" s="2">
        <f>$E193*(AA193/100)</f>
        <v>53.3312500161</v>
      </c>
      <c r="P193" s="2">
        <f>$E193*AM193</f>
        <v>5.8958932238192912</v>
      </c>
      <c r="Q193" s="2">
        <f>$E193*AN193</f>
        <v>3.5999999999999988</v>
      </c>
      <c r="R193" s="2">
        <f>$E193*AQ193</f>
        <v>0.39999999999999986</v>
      </c>
      <c r="S193" s="2">
        <f>$E193*AO193</f>
        <v>3.0018749999999987</v>
      </c>
      <c r="T193" s="2">
        <f>$E193*AP193</f>
        <v>1.0006249999999981</v>
      </c>
      <c r="U193" s="2">
        <f>S193-T193</f>
        <v>2.0012500000000006</v>
      </c>
      <c r="V193" s="1">
        <f>F193/D193</f>
        <v>0.23884241858782193</v>
      </c>
      <c r="W193" s="1">
        <f>(F193+M193+N193+P193)/(D193+M193+N193+Q193)</f>
        <v>0.29068857026812173</v>
      </c>
      <c r="X193" s="1">
        <f>(G193+H193*2+I193*3+J193*4)/D193</f>
        <v>0.36914063127914004</v>
      </c>
      <c r="Y193" s="1">
        <f>W193+X193</f>
        <v>0.65982920154726177</v>
      </c>
      <c r="Z193">
        <v>0.24477191600000001</v>
      </c>
      <c r="AA193">
        <v>11.04166667</v>
      </c>
      <c r="AB193">
        <v>5.1792184266000003</v>
      </c>
      <c r="AD193" s="2">
        <f>(D193-O193-J193+Q193)*Z193</f>
        <v>94.422536728654023</v>
      </c>
      <c r="AE193">
        <v>0.22768374699999999</v>
      </c>
      <c r="AF193">
        <v>0.766397849462365</v>
      </c>
      <c r="AG193">
        <v>0.225806451612903</v>
      </c>
      <c r="AH193">
        <v>0</v>
      </c>
      <c r="AI193">
        <v>2.6086956521739101E-2</v>
      </c>
      <c r="AJ193">
        <v>9.6860766045548594E-2</v>
      </c>
      <c r="AK193">
        <v>0.118012422360248</v>
      </c>
      <c r="AL193">
        <v>1.8633540372670801E-3</v>
      </c>
      <c r="AM193">
        <v>1.2206818268777E-2</v>
      </c>
      <c r="AN193">
        <v>7.4534161490683202E-3</v>
      </c>
      <c r="AO193">
        <v>6.2150621118012396E-3</v>
      </c>
      <c r="AP193">
        <v>2.0716873706004102E-3</v>
      </c>
      <c r="AQ193">
        <v>8.2815734989648E-4</v>
      </c>
    </row>
    <row r="194" spans="1:43" x14ac:dyDescent="0.4">
      <c r="A194" t="s">
        <v>84</v>
      </c>
      <c r="B194" t="s">
        <v>85</v>
      </c>
      <c r="C194" s="4">
        <f>K194*1.9+G194*2.6+H194*5.2+I194*7.8+J194*10.4+L194*1.9+S194*4.2+M194*2.6+P194*2.6</f>
        <v>709.74419623648646</v>
      </c>
      <c r="D194" s="2">
        <f>E194-M194-P194-Q194-R194</f>
        <v>361.85792356616804</v>
      </c>
      <c r="E194">
        <v>393</v>
      </c>
      <c r="F194" s="2">
        <f>AD194+J194</f>
        <v>93.684467087708029</v>
      </c>
      <c r="G194" s="2">
        <f>$AD194*AF194</f>
        <v>57.662735641276498</v>
      </c>
      <c r="H194" s="2">
        <f>$AD194*AG194</f>
        <v>17.926239059464159</v>
      </c>
      <c r="I194" s="2">
        <f>$AD194*AH194</f>
        <v>0.99865736490739199</v>
      </c>
      <c r="J194" s="2">
        <f>$E194*AI194</f>
        <v>16.999999999999986</v>
      </c>
      <c r="K194" s="2">
        <f>$E194*AJ194</f>
        <v>48.443428571428221</v>
      </c>
      <c r="L194" s="2">
        <f>$E194*AK194</f>
        <v>56.999999999999886</v>
      </c>
      <c r="M194" s="2">
        <f>$E194*(AB194/100)</f>
        <v>23.058000000711001</v>
      </c>
      <c r="N194" s="2">
        <f>$E194*AL194</f>
        <v>1.0122857142857071</v>
      </c>
      <c r="O194" s="2">
        <f>$E194*(AA194/100)</f>
        <v>105.5485714398</v>
      </c>
      <c r="P194" s="2">
        <f>$E194*AM194</f>
        <v>5.0840764331209547</v>
      </c>
      <c r="Q194" s="2">
        <f>$E194*AN194</f>
        <v>2.9999999999999836</v>
      </c>
      <c r="R194" s="2">
        <f>$E194*AQ194</f>
        <v>0</v>
      </c>
      <c r="S194" s="2">
        <f>$E194*AO194</f>
        <v>2.0245714285714183</v>
      </c>
      <c r="T194" s="2">
        <f>$E194*AP194</f>
        <v>1.0122857142857071</v>
      </c>
      <c r="U194" s="2">
        <f>S194-T194</f>
        <v>1.0122857142857111</v>
      </c>
      <c r="V194" s="1">
        <f>F194/D194</f>
        <v>0.25889848193576237</v>
      </c>
      <c r="W194" s="1">
        <f>(F194+M194+N194+P194)/(D194+M194+N194+Q194)</f>
        <v>0.31583934079469872</v>
      </c>
      <c r="X194" s="1">
        <f>(G194+H194*2+I194*3+J194*4)/D194</f>
        <v>0.45462922086558927</v>
      </c>
      <c r="Y194" s="1">
        <f>W194+X194</f>
        <v>0.77046856166028799</v>
      </c>
      <c r="Z194">
        <v>0.3164734106</v>
      </c>
      <c r="AA194">
        <v>26.85714286</v>
      </c>
      <c r="AB194">
        <v>5.8671755726999999</v>
      </c>
      <c r="AD194" s="2">
        <f>(D194-O194-J194+Q194)*Z194</f>
        <v>76.684467087708043</v>
      </c>
      <c r="AE194">
        <v>0.236426475</v>
      </c>
      <c r="AF194">
        <v>0.75194805194805103</v>
      </c>
      <c r="AG194">
        <v>0.23376623376623301</v>
      </c>
      <c r="AH194">
        <v>1.3022941970310301E-2</v>
      </c>
      <c r="AI194">
        <v>4.3256997455470701E-2</v>
      </c>
      <c r="AJ194">
        <v>0.123265721555797</v>
      </c>
      <c r="AK194">
        <v>0.14503816793893101</v>
      </c>
      <c r="AL194">
        <v>2.5757906215921299E-3</v>
      </c>
      <c r="AM194">
        <v>1.2936581254760699E-2</v>
      </c>
      <c r="AN194">
        <v>7.6335877862595001E-3</v>
      </c>
      <c r="AO194">
        <v>5.1515812431842702E-3</v>
      </c>
      <c r="AP194">
        <v>2.5757906215921299E-3</v>
      </c>
      <c r="AQ194">
        <v>0</v>
      </c>
    </row>
    <row r="195" spans="1:43" x14ac:dyDescent="0.4">
      <c r="A195" t="s">
        <v>162</v>
      </c>
      <c r="B195" t="s">
        <v>169</v>
      </c>
      <c r="C195" s="4">
        <f>K195*1.9+G195*2.6+H195*5.2+I195*7.8+J195*10.4+L195*1.9+S195*4.2+M195*2.6+P195*2.6</f>
        <v>702.45197600995175</v>
      </c>
      <c r="D195" s="2">
        <f>E195-M195-P195-Q195-R195</f>
        <v>363.55474550688467</v>
      </c>
      <c r="E195">
        <v>409</v>
      </c>
      <c r="F195" s="2">
        <f>AD195+J195</f>
        <v>85.754270425099904</v>
      </c>
      <c r="G195" s="2">
        <f>$AD195*AF195</f>
        <v>51.609248363284252</v>
      </c>
      <c r="H195" s="2">
        <f>$AD195*AG195</f>
        <v>16.035772852197052</v>
      </c>
      <c r="I195" s="2">
        <f>$AD195*AH195</f>
        <v>1.011079060349922</v>
      </c>
      <c r="J195" s="2">
        <f>$E195*AI195</f>
        <v>16.599999999999969</v>
      </c>
      <c r="K195" s="2">
        <f>$E195*AJ195</f>
        <v>47.419851116625104</v>
      </c>
      <c r="L195" s="2">
        <f>$E195*AK195</f>
        <v>50.999999999999858</v>
      </c>
      <c r="M195" s="2">
        <f>$E195*(AB195/100)</f>
        <v>32.250620346774006</v>
      </c>
      <c r="N195" s="2">
        <f>$E195*AL195</f>
        <v>0.39999999999999597</v>
      </c>
      <c r="O195" s="2">
        <f>$E195*(AA195/100)</f>
        <v>94.384615397200008</v>
      </c>
      <c r="P195" s="2">
        <f>$E195*AM195</f>
        <v>8.197560975609715</v>
      </c>
      <c r="Q195" s="2">
        <f>$E195*AN195</f>
        <v>2.9999999999999698</v>
      </c>
      <c r="R195" s="2">
        <f>$E195*AQ195</f>
        <v>1.997073170731698</v>
      </c>
      <c r="S195" s="2">
        <f>$E195*AO195</f>
        <v>2.9029776674937673</v>
      </c>
      <c r="T195" s="2">
        <f>$E195*AP195</f>
        <v>0.89999999999999092</v>
      </c>
      <c r="U195" s="2">
        <f>S195-T195</f>
        <v>2.0029776674937763</v>
      </c>
      <c r="V195" s="1">
        <f>F195/D195</f>
        <v>0.23587718626953247</v>
      </c>
      <c r="W195" s="1">
        <f>(F195+M195+N195+P195)/(D195+M195+N195+Q195)</f>
        <v>0.3171361473981133</v>
      </c>
      <c r="X195" s="1">
        <f>(G195+H195*2+I195*3+J195*4)/D195</f>
        <v>0.42115811481225313</v>
      </c>
      <c r="Y195" s="1">
        <f>W195+X195</f>
        <v>0.73829426221036643</v>
      </c>
      <c r="Z195">
        <v>0.27058823500000001</v>
      </c>
      <c r="AA195">
        <v>23.07692308</v>
      </c>
      <c r="AB195">
        <v>7.8852372486000002</v>
      </c>
      <c r="AD195" s="2">
        <f>(D195-O195-J195+Q195)*Z195</f>
        <v>69.154270425099938</v>
      </c>
      <c r="AE195">
        <v>0.20712952500000001</v>
      </c>
      <c r="AF195">
        <v>0.74629156010230102</v>
      </c>
      <c r="AG195">
        <v>0.231884057971014</v>
      </c>
      <c r="AH195">
        <v>1.462063086104E-2</v>
      </c>
      <c r="AI195">
        <v>4.0586797066014597E-2</v>
      </c>
      <c r="AJ195">
        <v>0.115940956275367</v>
      </c>
      <c r="AK195">
        <v>0.124694376528117</v>
      </c>
      <c r="AL195">
        <v>9.7799511002444003E-4</v>
      </c>
      <c r="AM195">
        <v>2.0042936370683901E-2</v>
      </c>
      <c r="AN195">
        <v>7.3349633251833003E-3</v>
      </c>
      <c r="AO195">
        <v>7.0977449082977196E-3</v>
      </c>
      <c r="AP195">
        <v>2.20048899755499E-3</v>
      </c>
      <c r="AQ195">
        <v>4.8828194883415599E-3</v>
      </c>
    </row>
    <row r="196" spans="1:43" x14ac:dyDescent="0.4">
      <c r="A196" t="s">
        <v>49</v>
      </c>
      <c r="B196" t="s">
        <v>59</v>
      </c>
      <c r="C196" s="4">
        <f>K196*1.9+G196*2.6+H196*5.2+I196*7.8+J196*10.4+L196*1.9+S196*4.2+M196*2.6+P196*2.6</f>
        <v>699.99439245814835</v>
      </c>
      <c r="D196" s="2">
        <f>E196-M196-P196-Q196-R196</f>
        <v>363.16034824183788</v>
      </c>
      <c r="E196">
        <v>401</v>
      </c>
      <c r="F196" s="2">
        <f>AD196+J196</f>
        <v>93.276534000738522</v>
      </c>
      <c r="G196" s="2">
        <f>$AD196*AF196</f>
        <v>60.051575903095923</v>
      </c>
      <c r="H196" s="2">
        <f>$AD196*AG196</f>
        <v>18.830298098938599</v>
      </c>
      <c r="I196" s="2">
        <f>$AD196*AH196</f>
        <v>1.953479244759891</v>
      </c>
      <c r="J196" s="2">
        <f>$E196*AI196</f>
        <v>12.999999999999975</v>
      </c>
      <c r="K196" s="2">
        <f>$E196*AJ196</f>
        <v>49.230541871920842</v>
      </c>
      <c r="L196" s="2">
        <f>$E196*AK196</f>
        <v>51.999999999999808</v>
      </c>
      <c r="M196" s="2">
        <f>$E196*(AB196/100)</f>
        <v>31.861822658855001</v>
      </c>
      <c r="N196" s="2">
        <f>$E196*AL196</f>
        <v>1.597536945812799</v>
      </c>
      <c r="O196" s="2">
        <f>$E196*(AA196/100)</f>
        <v>74.076354663999993</v>
      </c>
      <c r="P196" s="2">
        <f>$E196*AM196</f>
        <v>2.9778290993071455</v>
      </c>
      <c r="Q196" s="2">
        <f>$E196*AN196</f>
        <v>2.9999999999999845</v>
      </c>
      <c r="R196" s="2">
        <f>$E196*AQ196</f>
        <v>0</v>
      </c>
      <c r="S196" s="2">
        <f>$E196*AO196</f>
        <v>2.9963054187191918</v>
      </c>
      <c r="T196" s="2">
        <f>$E196*AP196</f>
        <v>0.99876847290639859</v>
      </c>
      <c r="U196" s="2">
        <f>S196-T196</f>
        <v>1.9975369458127932</v>
      </c>
      <c r="V196" s="1">
        <f>F196/D196</f>
        <v>0.25684669169505053</v>
      </c>
      <c r="W196" s="1">
        <f>(F196+M196+N196+P196)/(D196+M196+N196+Q196)</f>
        <v>0.32459290710090971</v>
      </c>
      <c r="X196" s="1">
        <f>(G196+H196*2+I196*3+J196*4)/D196</f>
        <v>0.4283854517389461</v>
      </c>
      <c r="Y196" s="1">
        <f>W196+X196</f>
        <v>0.75297835883985575</v>
      </c>
      <c r="Z196">
        <v>0.287642917</v>
      </c>
      <c r="AA196">
        <v>18.472906399999999</v>
      </c>
      <c r="AB196">
        <v>7.9455916855000002</v>
      </c>
      <c r="AD196" s="2">
        <f>(D196-O196-J196+Q196)*Z196</f>
        <v>80.27653400073855</v>
      </c>
      <c r="AE196">
        <v>0.23905279199999999</v>
      </c>
      <c r="AF196">
        <v>0.74805890227576899</v>
      </c>
      <c r="AG196">
        <v>0.234567901234567</v>
      </c>
      <c r="AH196">
        <v>2.4334374535177599E-2</v>
      </c>
      <c r="AI196">
        <v>3.2418952618453803E-2</v>
      </c>
      <c r="AJ196">
        <v>0.12276943110204699</v>
      </c>
      <c r="AK196">
        <v>0.12967581047381499</v>
      </c>
      <c r="AL196">
        <v>3.9838826578872796E-3</v>
      </c>
      <c r="AM196">
        <v>7.4260077289455004E-3</v>
      </c>
      <c r="AN196">
        <v>7.4812967581046998E-3</v>
      </c>
      <c r="AO196">
        <v>7.4720833384518499E-3</v>
      </c>
      <c r="AP196">
        <v>2.4906944461506198E-3</v>
      </c>
      <c r="AQ196">
        <v>0</v>
      </c>
    </row>
    <row r="197" spans="1:43" x14ac:dyDescent="0.4">
      <c r="A197" t="s">
        <v>138</v>
      </c>
      <c r="B197" s="3" t="s">
        <v>141</v>
      </c>
      <c r="C197" s="4">
        <f>K197*1.9+G197*2.6+H197*5.2+I197*7.8+J197*10.4+L197*1.9+S197*4.2+M197*2.6+P197*2.6</f>
        <v>699.97120835427745</v>
      </c>
      <c r="D197" s="2">
        <f>E197-M197-P197-Q197-R197</f>
        <v>404.19180327718294</v>
      </c>
      <c r="E197">
        <v>438</v>
      </c>
      <c r="F197" s="2">
        <f>AD197+J197</f>
        <v>103.37802348035734</v>
      </c>
      <c r="G197" s="2">
        <f>$AD197*AF197</f>
        <v>76.458771893961611</v>
      </c>
      <c r="H197" s="2">
        <f>$AD197*AG197</f>
        <v>19.804068575816906</v>
      </c>
      <c r="I197" s="2">
        <f>$AD197*AH197</f>
        <v>2.4017124671787347</v>
      </c>
      <c r="J197" s="2">
        <f>$E197*AI197</f>
        <v>5.3999999999999684</v>
      </c>
      <c r="K197" s="2">
        <f>$E197*AJ197</f>
        <v>50.557377049179948</v>
      </c>
      <c r="L197" s="2">
        <f>$E197*AK197</f>
        <v>42</v>
      </c>
      <c r="M197" s="2">
        <f>$E197*(AB197/100)</f>
        <v>26.864402811809999</v>
      </c>
      <c r="N197" s="2">
        <f>$E197*AL197</f>
        <v>1.0025761124121555</v>
      </c>
      <c r="O197" s="2">
        <f>$E197*(AA197/100)</f>
        <v>70.777517584199998</v>
      </c>
      <c r="P197" s="2">
        <f>$E197*AM197</f>
        <v>2.3128805620608901</v>
      </c>
      <c r="Q197" s="2">
        <f>$E197*AN197</f>
        <v>2.9999999999999778</v>
      </c>
      <c r="R197" s="2">
        <f>$E197*AQ197</f>
        <v>1.6309133489461216</v>
      </c>
      <c r="S197" s="2">
        <f>$E197*AO197</f>
        <v>17.043793911006976</v>
      </c>
      <c r="T197" s="2">
        <f>$E197*AP197</f>
        <v>3.11030444964869</v>
      </c>
      <c r="U197" s="2">
        <f>S197-T197</f>
        <v>13.933489461358285</v>
      </c>
      <c r="V197" s="1">
        <f>F197/D197</f>
        <v>0.25576476970133832</v>
      </c>
      <c r="W197" s="1">
        <f>(F197+M197+N197+P197)/(D197+M197+N197+Q197)</f>
        <v>0.30698813224924493</v>
      </c>
      <c r="X197" s="1">
        <f>(G197+H197*2+I197*3+J197*4)/D197</f>
        <v>0.35842400878125302</v>
      </c>
      <c r="Y197" s="1">
        <f>W197+X197</f>
        <v>0.66541214103049795</v>
      </c>
      <c r="Z197">
        <v>0.29599333839999997</v>
      </c>
      <c r="AA197">
        <v>16.159250589999999</v>
      </c>
      <c r="AB197">
        <v>6.1334252994999998</v>
      </c>
      <c r="AD197" s="2">
        <f>(D197-O197-J197+Q197)*Z197</f>
        <v>97.978023480357379</v>
      </c>
      <c r="AE197">
        <v>0.24381383300000001</v>
      </c>
      <c r="AF197">
        <v>0.78036654729302701</v>
      </c>
      <c r="AG197">
        <v>0.20212765957446799</v>
      </c>
      <c r="AH197">
        <v>2.4512767066180201E-2</v>
      </c>
      <c r="AI197">
        <v>1.23287671232876E-2</v>
      </c>
      <c r="AJ197">
        <v>0.115427801482146</v>
      </c>
      <c r="AK197">
        <v>9.5890410958904104E-2</v>
      </c>
      <c r="AL197">
        <v>2.2889865580186198E-3</v>
      </c>
      <c r="AM197">
        <v>5.2805492284495204E-3</v>
      </c>
      <c r="AN197">
        <v>6.8493150684931E-3</v>
      </c>
      <c r="AO197">
        <v>3.8912771486317298E-2</v>
      </c>
      <c r="AP197">
        <v>7.10115171152669E-3</v>
      </c>
      <c r="AQ197">
        <v>3.7235464587810998E-3</v>
      </c>
    </row>
    <row r="198" spans="1:43" x14ac:dyDescent="0.4">
      <c r="A198" t="s">
        <v>84</v>
      </c>
      <c r="B198" t="s">
        <v>87</v>
      </c>
      <c r="C198" s="4">
        <f>K198*1.9+G198*2.6+H198*5.2+I198*7.8+J198*10.4+L198*1.9+S198*4.2+M198*2.6+P198*2.6</f>
        <v>697.89455258863438</v>
      </c>
      <c r="D198" s="2">
        <f>E198-M198-P198-Q198-R198</f>
        <v>371.32668845324912</v>
      </c>
      <c r="E198">
        <v>415</v>
      </c>
      <c r="F198" s="2">
        <f>AD198+J198</f>
        <v>94.888165459067196</v>
      </c>
      <c r="G198" s="2">
        <f>$AD198*AF198</f>
        <v>63.666124094300415</v>
      </c>
      <c r="H198" s="2">
        <f>$AD198*AG198</f>
        <v>19.200894568122333</v>
      </c>
      <c r="I198" s="2">
        <f>$AD198*AH198</f>
        <v>3.0317201949666854</v>
      </c>
      <c r="J198" s="2">
        <f>$E198*AI198</f>
        <v>9.999999999999968</v>
      </c>
      <c r="K198" s="2">
        <f>$E198*AJ198</f>
        <v>50.197959183673355</v>
      </c>
      <c r="L198" s="2">
        <f>$E198*AK198</f>
        <v>43.999999999999929</v>
      </c>
      <c r="M198" s="2">
        <f>$E198*(AB198/100)</f>
        <v>38.349999999909997</v>
      </c>
      <c r="N198" s="2">
        <f>$E198*AL198</f>
        <v>0.98469387755099458</v>
      </c>
      <c r="O198" s="2">
        <f>$E198*(AA198/100)</f>
        <v>87.234693863999993</v>
      </c>
      <c r="P198" s="2">
        <f>$E198*AM198</f>
        <v>1.9808278867102251</v>
      </c>
      <c r="Q198" s="2">
        <f>$E198*AN198</f>
        <v>2.3999999999999866</v>
      </c>
      <c r="R198" s="2">
        <f>$E198*AQ198</f>
        <v>0.94248366013068685</v>
      </c>
      <c r="S198" s="2">
        <f>$E198*AO198</f>
        <v>5.0081632653060932</v>
      </c>
      <c r="T198" s="2">
        <f>$E198*AP198</f>
        <v>1.9693877551020267</v>
      </c>
      <c r="U198" s="2">
        <f>S198-T198</f>
        <v>3.0387755102040668</v>
      </c>
      <c r="V198" s="1">
        <f>F198/D198</f>
        <v>0.25553823199275327</v>
      </c>
      <c r="W198" s="1">
        <f>(F198+M198+N198+P198)/(D198+M198+N198+Q198)</f>
        <v>0.32974200215644806</v>
      </c>
      <c r="X198" s="1">
        <f>(G198+H198*2+I198*3+J198*4)/D198</f>
        <v>0.40708917111536086</v>
      </c>
      <c r="Y198" s="1">
        <f>W198+X198</f>
        <v>0.73683117327180891</v>
      </c>
      <c r="Z198">
        <v>0.30701852899999998</v>
      </c>
      <c r="AA198">
        <v>21.020408159999999</v>
      </c>
      <c r="AB198">
        <v>9.2409638554000004</v>
      </c>
      <c r="AD198" s="2">
        <f>(D198-O198-J198+Q198)*Z198</f>
        <v>84.888165459067224</v>
      </c>
      <c r="AE198">
        <v>0.22622449</v>
      </c>
      <c r="AF198">
        <v>0.75</v>
      </c>
      <c r="AG198">
        <v>0.226190476190476</v>
      </c>
      <c r="AH198">
        <v>3.5714285714285698E-2</v>
      </c>
      <c r="AI198">
        <v>2.40963855421686E-2</v>
      </c>
      <c r="AJ198">
        <v>0.12095893779198399</v>
      </c>
      <c r="AK198">
        <v>0.106024096385542</v>
      </c>
      <c r="AL198">
        <v>2.3727563314481798E-3</v>
      </c>
      <c r="AM198">
        <v>4.7730792450848799E-3</v>
      </c>
      <c r="AN198">
        <v>5.78313253012045E-3</v>
      </c>
      <c r="AO198">
        <v>1.2067863289894201E-2</v>
      </c>
      <c r="AP198">
        <v>4.7455126628964499E-3</v>
      </c>
      <c r="AQ198">
        <v>2.2710449641703298E-3</v>
      </c>
    </row>
    <row r="199" spans="1:43" x14ac:dyDescent="0.4">
      <c r="A199" t="s">
        <v>199</v>
      </c>
      <c r="B199" s="3" t="s">
        <v>205</v>
      </c>
      <c r="C199" s="4">
        <f>K199*1.9+G199*2.6+H199*5.2+I199*7.8+J199*10.4+L199*1.9+S199*4.2+M199*2.6+P199*2.6</f>
        <v>696.85536470685906</v>
      </c>
      <c r="D199" s="2">
        <f>E199-M199-P199-Q199-R199</f>
        <v>371.21241496754072</v>
      </c>
      <c r="E199">
        <v>424</v>
      </c>
      <c r="F199" s="2">
        <f>AD199+J199</f>
        <v>95.324077282787357</v>
      </c>
      <c r="G199" s="2">
        <f>$AD199*AF199</f>
        <v>63.84626078774383</v>
      </c>
      <c r="H199" s="2">
        <f>$AD199*AG199</f>
        <v>20.170371125361669</v>
      </c>
      <c r="I199" s="2">
        <f>$AD199*AH199</f>
        <v>0.98772985452681805</v>
      </c>
      <c r="J199" s="2">
        <f>$E199*AI199</f>
        <v>9.599999999999973</v>
      </c>
      <c r="K199" s="2">
        <f>$E199*AJ199</f>
        <v>49.064285714285333</v>
      </c>
      <c r="L199" s="2">
        <f>$E199*AK199</f>
        <v>45.999999999999645</v>
      </c>
      <c r="M199" s="2">
        <f>$E199*(AB199/100)</f>
        <v>44.710714284160005</v>
      </c>
      <c r="N199" s="2">
        <f>$E199*AL199</f>
        <v>1.9892857142856863</v>
      </c>
      <c r="O199" s="2">
        <f>$E199*(AA199/100)</f>
        <v>77.607142863200011</v>
      </c>
      <c r="P199" s="2">
        <f>$E199*AM199</f>
        <v>5.0768707482992834</v>
      </c>
      <c r="Q199" s="2">
        <f>$E199*AN199</f>
        <v>2.9999999999999969</v>
      </c>
      <c r="R199" s="2">
        <f>$E199*AQ199</f>
        <v>0</v>
      </c>
      <c r="S199" s="2">
        <f>$E199*AO199</f>
        <v>1.9892857142856863</v>
      </c>
      <c r="T199" s="2">
        <f>$E199*AP199</f>
        <v>0.99464285714284095</v>
      </c>
      <c r="U199" s="2">
        <f>S199-T199</f>
        <v>0.99464285714284539</v>
      </c>
      <c r="V199" s="1">
        <f>F199/D199</f>
        <v>0.25679118865440592</v>
      </c>
      <c r="W199" s="1">
        <f>(F199+M199+N199+P199)/(D199+M199+N199+Q199)</f>
        <v>0.34948113383973112</v>
      </c>
      <c r="X199" s="1">
        <f>(G199+H199*2+I199*3+J199*4)/D199</f>
        <v>0.39209408611717522</v>
      </c>
      <c r="Y199" s="1">
        <f>W199+X199</f>
        <v>0.74157521995690634</v>
      </c>
      <c r="Z199">
        <v>0.29868467799999998</v>
      </c>
      <c r="AA199">
        <v>18.303571430000002</v>
      </c>
      <c r="AB199">
        <v>10.544979784000001</v>
      </c>
      <c r="AD199" s="2">
        <f>(D199-O199-J199+Q199)*Z199</f>
        <v>85.724077282787391</v>
      </c>
      <c r="AE199">
        <v>0.226418752</v>
      </c>
      <c r="AF199">
        <v>0.74478796169630601</v>
      </c>
      <c r="AG199">
        <v>0.23529411764705799</v>
      </c>
      <c r="AH199">
        <v>1.1522198731500901E-2</v>
      </c>
      <c r="AI199">
        <v>2.26415094339622E-2</v>
      </c>
      <c r="AJ199">
        <v>0.11571765498652201</v>
      </c>
      <c r="AK199">
        <v>0.10849056603773501</v>
      </c>
      <c r="AL199">
        <v>4.6917115902964301E-3</v>
      </c>
      <c r="AM199">
        <v>1.1973751764856801E-2</v>
      </c>
      <c r="AN199">
        <v>7.0754716981131999E-3</v>
      </c>
      <c r="AO199">
        <v>4.6917115902964301E-3</v>
      </c>
      <c r="AP199">
        <v>2.3458557951482099E-3</v>
      </c>
      <c r="AQ199">
        <v>0</v>
      </c>
    </row>
    <row r="200" spans="1:43" x14ac:dyDescent="0.4">
      <c r="A200" t="s">
        <v>172</v>
      </c>
      <c r="B200" t="s">
        <v>177</v>
      </c>
      <c r="C200" s="4">
        <f>K200*1.9+G200*2.6+H200*5.2+I200*7.8+J200*10.4+L200*1.9+S200*4.2+M200*2.6+P200*2.6</f>
        <v>675.44746165672348</v>
      </c>
      <c r="D200" s="2">
        <f>E200-M200-P200-Q200-R200</f>
        <v>348.52787890479874</v>
      </c>
      <c r="E200">
        <v>408</v>
      </c>
      <c r="F200" s="2">
        <f>AD200+J200</f>
        <v>80.331229607447</v>
      </c>
      <c r="G200" s="2">
        <f>$AD200*AF200</f>
        <v>53.977986796833463</v>
      </c>
      <c r="H200" s="2">
        <f>$AD200*AG200</f>
        <v>14.397606095650827</v>
      </c>
      <c r="I200" s="2">
        <f>$AD200*AH200</f>
        <v>0.98494689587953432</v>
      </c>
      <c r="J200" s="2">
        <f>$E200*AI200</f>
        <v>10.39999999999997</v>
      </c>
      <c r="K200" s="2">
        <f>$E200*AJ200</f>
        <v>47.465105386416525</v>
      </c>
      <c r="L200" s="2">
        <f>$E200*AK200</f>
        <v>42.999999999999957</v>
      </c>
      <c r="M200" s="2">
        <f>$E200*(AB200/100)</f>
        <v>50.446370022240004</v>
      </c>
      <c r="N200" s="2">
        <f>$E200*AL200</f>
        <v>0.99555035128803071</v>
      </c>
      <c r="O200" s="2">
        <f>$E200*(AA200/100)</f>
        <v>85.039812626399993</v>
      </c>
      <c r="P200" s="2">
        <f>$E200*AM200</f>
        <v>6.1004291845492951</v>
      </c>
      <c r="Q200" s="2">
        <f>$E200*AN200</f>
        <v>1.9999999999999898</v>
      </c>
      <c r="R200" s="2">
        <f>$E200*AQ200</f>
        <v>0.92532188841199903</v>
      </c>
      <c r="S200" s="2">
        <f>$E200*AO200</f>
        <v>6.0688524590163366</v>
      </c>
      <c r="T200" s="2">
        <f>$E200*AP200</f>
        <v>1.9911007025761021</v>
      </c>
      <c r="U200" s="2">
        <f>S200-T200</f>
        <v>4.0777517564402341</v>
      </c>
      <c r="V200" s="1">
        <f>F200/D200</f>
        <v>0.23048724211066535</v>
      </c>
      <c r="W200" s="1">
        <f>(F200+M200+N200+P200)/(D200+M200+N200+Q200)</f>
        <v>0.34299487029387415</v>
      </c>
      <c r="X200" s="1">
        <f>(G200+H200*2+I200*3+J200*4)/D200</f>
        <v>0.36533100329271961</v>
      </c>
      <c r="Y200" s="1">
        <f>W200+X200</f>
        <v>0.70832587358659382</v>
      </c>
      <c r="Z200">
        <v>0.2741454378</v>
      </c>
      <c r="AA200">
        <v>20.84309133</v>
      </c>
      <c r="AB200">
        <v>12.364306378</v>
      </c>
      <c r="AD200" s="2">
        <f>(D200-O200-J200+Q200)*Z200</f>
        <v>69.931229607447037</v>
      </c>
      <c r="AE200">
        <v>0.19922015200000001</v>
      </c>
      <c r="AF200">
        <v>0.77187241093620496</v>
      </c>
      <c r="AG200">
        <v>0.20588235294117599</v>
      </c>
      <c r="AH200">
        <v>1.4084507042253501E-2</v>
      </c>
      <c r="AI200">
        <v>2.5490196078431299E-2</v>
      </c>
      <c r="AJ200">
        <v>0.116336042613766</v>
      </c>
      <c r="AK200">
        <v>0.105392156862745</v>
      </c>
      <c r="AL200">
        <v>2.44007439041184E-3</v>
      </c>
      <c r="AM200">
        <v>1.4952032315071801E-2</v>
      </c>
      <c r="AN200">
        <v>4.9019607843137003E-3</v>
      </c>
      <c r="AO200">
        <v>1.4874638379942001E-2</v>
      </c>
      <c r="AP200">
        <v>4.8801487808237797E-3</v>
      </c>
      <c r="AQ200">
        <v>2.2679458049313702E-3</v>
      </c>
    </row>
    <row r="201" spans="1:43" x14ac:dyDescent="0.4">
      <c r="A201" t="s">
        <v>94</v>
      </c>
      <c r="B201" s="3" t="s">
        <v>95</v>
      </c>
      <c r="C201" s="4">
        <f>K201*1.9+G201*2.6+H201*5.2+I201*7.8+J201*10.4+L201*1.9+S201*4.2+M201*2.6+P201*2.6</f>
        <v>648.33667008895839</v>
      </c>
      <c r="D201" s="2">
        <f>E201-M201-P201-Q201-R201</f>
        <v>352.53151871872501</v>
      </c>
      <c r="E201">
        <v>395</v>
      </c>
      <c r="F201" s="2">
        <f>AD201+J201</f>
        <v>76.643050235023352</v>
      </c>
      <c r="G201" s="2">
        <f>$AD201*AF201</f>
        <v>46.396928992639054</v>
      </c>
      <c r="H201" s="2">
        <f>$AD201*AG201</f>
        <v>15.502389402054918</v>
      </c>
      <c r="I201" s="2">
        <f>$AD201*AH201</f>
        <v>1.043827553071691</v>
      </c>
      <c r="J201" s="2">
        <f>$E201*AI201</f>
        <v>13.599999999999943</v>
      </c>
      <c r="K201" s="2">
        <f>$E201*AJ201</f>
        <v>45.131034482758331</v>
      </c>
      <c r="L201" s="2">
        <f>$E201*AK201</f>
        <v>43.999999999999943</v>
      </c>
      <c r="M201" s="2">
        <f>$E201*(AB201/100)</f>
        <v>36.667816092804998</v>
      </c>
      <c r="N201" s="2">
        <f>$E201*AL201</f>
        <v>1.0816091954022726</v>
      </c>
      <c r="O201" s="2">
        <f>$E201*(AA201/100)</f>
        <v>102.6091953855</v>
      </c>
      <c r="P201" s="2">
        <f>$E201*AM201</f>
        <v>2.8751662971174934</v>
      </c>
      <c r="Q201" s="2">
        <f>$E201*AN201</f>
        <v>1.9999999999999976</v>
      </c>
      <c r="R201" s="2">
        <f>$E201*AQ201</f>
        <v>0.92549889135253049</v>
      </c>
      <c r="S201" s="2">
        <f>$E201*AO201</f>
        <v>6.0356321839079996</v>
      </c>
      <c r="T201" s="2">
        <f>$E201*AP201</f>
        <v>1.981609195402293</v>
      </c>
      <c r="U201" s="2">
        <f>S201-T201</f>
        <v>4.0540229885057064</v>
      </c>
      <c r="V201" s="1">
        <f>F201/D201</f>
        <v>0.21740765340240312</v>
      </c>
      <c r="W201" s="1">
        <f>(F201+M201+N201+P201)/(D201+M201+N201+Q201)</f>
        <v>0.29893790053252195</v>
      </c>
      <c r="X201" s="1">
        <f>(G201+H201*2+I201*3+J201*4)/D201</f>
        <v>0.38275496882201654</v>
      </c>
      <c r="Y201" s="1">
        <f>W201+X201</f>
        <v>0.68169286935453854</v>
      </c>
      <c r="Z201">
        <v>0.2645285148</v>
      </c>
      <c r="AA201">
        <v>25.977011489999999</v>
      </c>
      <c r="AB201">
        <v>9.2829914158999998</v>
      </c>
      <c r="AD201" s="2">
        <f>(D201-O201-J201+Q201)*Z201</f>
        <v>63.043050235023408</v>
      </c>
      <c r="AE201">
        <v>0.189183763</v>
      </c>
      <c r="AF201">
        <v>0.73595628415300496</v>
      </c>
      <c r="AG201">
        <v>0.24590163934426201</v>
      </c>
      <c r="AH201">
        <v>1.65573770491802E-2</v>
      </c>
      <c r="AI201">
        <v>3.4430379746835299E-2</v>
      </c>
      <c r="AJ201">
        <v>0.114255783500654</v>
      </c>
      <c r="AK201">
        <v>0.111392405063291</v>
      </c>
      <c r="AL201">
        <v>2.7382511276006901E-3</v>
      </c>
      <c r="AM201">
        <v>7.2789020180189703E-3</v>
      </c>
      <c r="AN201">
        <v>5.0632911392405004E-3</v>
      </c>
      <c r="AO201">
        <v>1.52800814782481E-2</v>
      </c>
      <c r="AP201">
        <v>5.0167321402589697E-3</v>
      </c>
      <c r="AQ201">
        <v>2.3430351679810898E-3</v>
      </c>
    </row>
    <row r="202" spans="1:43" x14ac:dyDescent="0.4">
      <c r="A202" t="s">
        <v>257</v>
      </c>
      <c r="B202" t="s">
        <v>258</v>
      </c>
      <c r="C202" s="4">
        <f>K202*1.9+G202*2.6+H202*5.2+I202*7.8+J202*10.4+L202*1.9+S202*4.2+M202*2.6+P202*2.6</f>
        <v>645.51516763121094</v>
      </c>
      <c r="D202" s="2">
        <f>E202-M202-P202-Q202-R202</f>
        <v>367.43005659056956</v>
      </c>
      <c r="E202">
        <v>414</v>
      </c>
      <c r="F202" s="2">
        <f>AD202+J202</f>
        <v>93.951847654143762</v>
      </c>
      <c r="G202" s="2">
        <f>$AD202*AF202</f>
        <v>66.999099805205532</v>
      </c>
      <c r="H202" s="2">
        <f>$AD202*AG202</f>
        <v>17.317848314704086</v>
      </c>
      <c r="I202" s="2">
        <f>$AD202*AH202</f>
        <v>0</v>
      </c>
      <c r="J202" s="2">
        <f>$E202*AI202</f>
        <v>9.3999999999999844</v>
      </c>
      <c r="K202" s="2">
        <f>$E202*AJ202</f>
        <v>41.928440366972104</v>
      </c>
      <c r="L202" s="2">
        <f>$E202*AK202</f>
        <v>47.999999999999901</v>
      </c>
      <c r="M202" s="2">
        <f>$E202*(AB202/100)</f>
        <v>38.283027521579996</v>
      </c>
      <c r="N202" s="2">
        <f>$E202*AL202</f>
        <v>0.99495412844033448</v>
      </c>
      <c r="O202" s="2">
        <f>$E202*(AA202/100)</f>
        <v>50.325688061999998</v>
      </c>
      <c r="P202" s="2">
        <f>$E202*AM202</f>
        <v>4.8869158878504502</v>
      </c>
      <c r="Q202" s="2">
        <f>$E202*AN202</f>
        <v>3.3999999999999879</v>
      </c>
      <c r="R202" s="2">
        <f>$E202*AQ202</f>
        <v>0</v>
      </c>
      <c r="S202" s="2">
        <f>$E202*AO202</f>
        <v>9.4954128440363827E-2</v>
      </c>
      <c r="T202" s="2">
        <f>$E202*AP202</f>
        <v>0</v>
      </c>
      <c r="U202" s="2">
        <f>S202-T202</f>
        <v>9.4954128440363827E-2</v>
      </c>
      <c r="V202" s="1">
        <f>F202/D202</f>
        <v>0.25569995151168351</v>
      </c>
      <c r="W202" s="1">
        <f>(F202+M202+N202+P202)/(D202+M202+N202+Q202)</f>
        <v>0.33678136567269218</v>
      </c>
      <c r="X202" s="1">
        <f>(G202+H202*2+I202*3+J202*4)/D202</f>
        <v>0.37894231551602264</v>
      </c>
      <c r="Y202" s="1">
        <f>W202+X202</f>
        <v>0.71572368118871488</v>
      </c>
      <c r="Z202">
        <v>0.27177968619999998</v>
      </c>
      <c r="AA202">
        <v>12.1559633</v>
      </c>
      <c r="AB202">
        <v>9.2471080969999999</v>
      </c>
      <c r="AD202" s="2">
        <f>(D202-O202-J202+Q202)*Z202</f>
        <v>84.551847654143785</v>
      </c>
      <c r="AE202">
        <v>0.23085804200000001</v>
      </c>
      <c r="AF202">
        <v>0.792402551381998</v>
      </c>
      <c r="AG202">
        <v>0.20481927710843301</v>
      </c>
      <c r="AH202">
        <v>0</v>
      </c>
      <c r="AI202">
        <v>2.27053140096618E-2</v>
      </c>
      <c r="AJ202">
        <v>0.101276426007179</v>
      </c>
      <c r="AK202">
        <v>0.115942028985507</v>
      </c>
      <c r="AL202">
        <v>2.40327084164332E-3</v>
      </c>
      <c r="AM202">
        <v>1.18041446566436E-2</v>
      </c>
      <c r="AN202">
        <v>8.2125603864734009E-3</v>
      </c>
      <c r="AO202">
        <v>2.2935779816513001E-4</v>
      </c>
      <c r="AP202">
        <v>0</v>
      </c>
      <c r="AQ202">
        <v>0</v>
      </c>
    </row>
    <row r="203" spans="1:43" x14ac:dyDescent="0.4">
      <c r="A203" t="s">
        <v>162</v>
      </c>
      <c r="B203" s="3" t="s">
        <v>163</v>
      </c>
      <c r="C203" s="4">
        <f>K203*1.9+G203*2.6+H203*5.2+I203*7.8+J203*10.4+L203*1.9+S203*4.2+M203*2.6+P203*2.6</f>
        <v>643.96139219983388</v>
      </c>
      <c r="D203" s="2">
        <f>E203-M203-P203-Q203-R203</f>
        <v>395.25023364571689</v>
      </c>
      <c r="E203">
        <v>427</v>
      </c>
      <c r="F203" s="2">
        <f>AD203+J203</f>
        <v>97.359244505382662</v>
      </c>
      <c r="G203" s="2">
        <f>$AD203*AF203</f>
        <v>67.677764593080198</v>
      </c>
      <c r="H203" s="2">
        <f>$AD203*AG203</f>
        <v>19.163927790934824</v>
      </c>
      <c r="I203" s="2">
        <f>$AD203*AH203</f>
        <v>1.0155838321148738</v>
      </c>
      <c r="J203" s="2">
        <f>$E203*AI203</f>
        <v>8.5999999999999428</v>
      </c>
      <c r="K203" s="2">
        <f>$E203*AJ203</f>
        <v>44.758333333333141</v>
      </c>
      <c r="L203" s="2">
        <f>$E203*AK203</f>
        <v>47.999999999999801</v>
      </c>
      <c r="M203" s="2">
        <f>$E203*(AB203/100)</f>
        <v>26.449999999142999</v>
      </c>
      <c r="N203" s="2">
        <f>$E203*AL203</f>
        <v>1.9694444444444339</v>
      </c>
      <c r="O203" s="2">
        <f>$E203*(AA203/100)</f>
        <v>70.319444451899997</v>
      </c>
      <c r="P203" s="2">
        <f>$E203*AM203</f>
        <v>1.8997663551401773</v>
      </c>
      <c r="Q203" s="2">
        <f>$E203*AN203</f>
        <v>2.9999999999999658</v>
      </c>
      <c r="R203" s="2">
        <f>$E203*AQ203</f>
        <v>0.39999999999998975</v>
      </c>
      <c r="S203" s="2">
        <f>$E203*AO203</f>
        <v>5.008333333333308</v>
      </c>
      <c r="T203" s="2">
        <f>$E203*AP203</f>
        <v>0.98472222222219563</v>
      </c>
      <c r="U203" s="2">
        <f>S203-T203</f>
        <v>4.0236111111111121</v>
      </c>
      <c r="V203" s="1">
        <f>F203/D203</f>
        <v>0.246323053644671</v>
      </c>
      <c r="W203" s="1">
        <f>(F203+M203+N203+P203)/(D203+M203+N203+Q203)</f>
        <v>0.29924426754644251</v>
      </c>
      <c r="X203" s="1">
        <f>(G203+H203*2+I203*3+J203*4)/D203</f>
        <v>0.36294063724672709</v>
      </c>
      <c r="Y203" s="1">
        <f>W203+X203</f>
        <v>0.6621849047931696</v>
      </c>
      <c r="Z203">
        <v>0.27795391959999999</v>
      </c>
      <c r="AA203">
        <v>16.468253969999999</v>
      </c>
      <c r="AB203">
        <v>6.1943793909</v>
      </c>
      <c r="AD203" s="2">
        <f>(D203-O203-J203+Q203)*Z203</f>
        <v>88.759244505382725</v>
      </c>
      <c r="AE203">
        <v>0.225805387</v>
      </c>
      <c r="AF203">
        <v>0.76248693834900705</v>
      </c>
      <c r="AG203">
        <v>0.21590909090909</v>
      </c>
      <c r="AH203">
        <v>1.14420062695924E-2</v>
      </c>
      <c r="AI203">
        <v>2.0140515222482301E-2</v>
      </c>
      <c r="AJ203">
        <v>0.104820452771272</v>
      </c>
      <c r="AK203">
        <v>0.11241217798594801</v>
      </c>
      <c r="AL203">
        <v>4.6122820712984399E-3</v>
      </c>
      <c r="AM203">
        <v>4.4491015342861297E-3</v>
      </c>
      <c r="AN203">
        <v>7.0257611241217001E-3</v>
      </c>
      <c r="AO203">
        <v>1.17291178766588E-2</v>
      </c>
      <c r="AP203">
        <v>2.3061410356491701E-3</v>
      </c>
      <c r="AQ203">
        <v>9.3676814988288002E-4</v>
      </c>
    </row>
    <row r="204" spans="1:43" x14ac:dyDescent="0.4">
      <c r="A204" t="s">
        <v>149</v>
      </c>
      <c r="B204" s="3" t="s">
        <v>151</v>
      </c>
      <c r="C204" s="4">
        <f>K204*1.9+G204*2.6+H204*5.2+I204*7.8+J204*10.4+L204*1.9+S204*4.2+M204*2.6+P204*2.6</f>
        <v>634.21485441468008</v>
      </c>
      <c r="D204" s="2">
        <f>E204-M204-P204-Q204-R204</f>
        <v>373.6356840794345</v>
      </c>
      <c r="E204">
        <v>398</v>
      </c>
      <c r="F204" s="2">
        <f>AD204+J204</f>
        <v>93.025704866928479</v>
      </c>
      <c r="G204" s="2">
        <f>$AD204*AF204</f>
        <v>61.670998234076571</v>
      </c>
      <c r="H204" s="2">
        <f>$AD204*AG204</f>
        <v>16.251426639369939</v>
      </c>
      <c r="I204" s="2">
        <f>$AD204*AH204</f>
        <v>1.0236288207914743</v>
      </c>
      <c r="J204" s="2">
        <f>$E204*AI204</f>
        <v>13.799999999999978</v>
      </c>
      <c r="K204" s="2">
        <f>$E204*AJ204</f>
        <v>42.891428571428548</v>
      </c>
      <c r="L204" s="2">
        <f>$E204*AK204</f>
        <v>49.999999999999766</v>
      </c>
      <c r="M204" s="2">
        <f>$E204*(AB204/100)</f>
        <v>18.919428572211999</v>
      </c>
      <c r="N204" s="2">
        <f>$E204*AL204</f>
        <v>1.9137142857142821</v>
      </c>
      <c r="O204" s="2">
        <f>$E204*(AA204/100)</f>
        <v>106.8914285828</v>
      </c>
      <c r="P204" s="2">
        <f>$E204*AM204</f>
        <v>3.044887348353531</v>
      </c>
      <c r="Q204" s="2">
        <f>$E204*AN204</f>
        <v>1.9999999999999987</v>
      </c>
      <c r="R204" s="2">
        <f>$E204*AQ204</f>
        <v>0.39999999999999175</v>
      </c>
      <c r="S204" s="2">
        <f>$E204*AO204</f>
        <v>1.0137142857142649</v>
      </c>
      <c r="T204" s="2">
        <f>$E204*AP204</f>
        <v>1.0137142857142649</v>
      </c>
      <c r="U204" s="2">
        <f>S204-T204</f>
        <v>0</v>
      </c>
      <c r="V204" s="1">
        <f>F204/D204</f>
        <v>0.24897435879585667</v>
      </c>
      <c r="W204" s="1">
        <f>(F204+M204+N204+P204)/(D204+M204+N204+Q204)</f>
        <v>0.29486236276447086</v>
      </c>
      <c r="X204" s="1">
        <f>(G204+H204*2+I204*3+J204*4)/D204</f>
        <v>0.40800369041512963</v>
      </c>
      <c r="Y204" s="1">
        <f>W204+X204</f>
        <v>0.70286605317960049</v>
      </c>
      <c r="Z204">
        <v>0.31075697200000002</v>
      </c>
      <c r="AA204">
        <v>26.85714286</v>
      </c>
      <c r="AB204">
        <v>4.7536252693999996</v>
      </c>
      <c r="AD204" s="2">
        <f>(D204-O204-J204+Q204)*Z204</f>
        <v>79.225704866928496</v>
      </c>
      <c r="AE204">
        <v>0.23099118900000001</v>
      </c>
      <c r="AF204">
        <v>0.778421578421578</v>
      </c>
      <c r="AG204">
        <v>0.20512820512820501</v>
      </c>
      <c r="AH204">
        <v>1.2920412920412801E-2</v>
      </c>
      <c r="AI204">
        <v>3.4673366834170799E-2</v>
      </c>
      <c r="AJ204">
        <v>0.107767408470926</v>
      </c>
      <c r="AK204">
        <v>0.12562814070351699</v>
      </c>
      <c r="AL204">
        <v>4.8083273510409101E-3</v>
      </c>
      <c r="AM204">
        <v>7.6504707245063598E-3</v>
      </c>
      <c r="AN204">
        <v>5.0251256281407001E-3</v>
      </c>
      <c r="AO204">
        <v>2.5470208183775499E-3</v>
      </c>
      <c r="AP204">
        <v>2.5470208183775499E-3</v>
      </c>
      <c r="AQ204">
        <v>1.00502512562812E-3</v>
      </c>
    </row>
    <row r="205" spans="1:43" x14ac:dyDescent="0.4">
      <c r="A205" t="s">
        <v>61</v>
      </c>
      <c r="B205" s="3" t="s">
        <v>63</v>
      </c>
      <c r="C205" s="4">
        <f>K205*1.9+G205*2.6+H205*5.2+I205*7.8+J205*10.4+L205*1.9+S205*4.2+M205*2.6+P205*2.6</f>
        <v>633.98575637199406</v>
      </c>
      <c r="D205" s="2">
        <f>E205-M205-P205-Q205-R205</f>
        <v>368.90303265818926</v>
      </c>
      <c r="E205">
        <v>401</v>
      </c>
      <c r="F205" s="2">
        <f>AD205+J205</f>
        <v>88.527070983042961</v>
      </c>
      <c r="G205" s="2">
        <f>$AD205*AF205</f>
        <v>58.047167704392237</v>
      </c>
      <c r="H205" s="2">
        <f>$AD205*AG205</f>
        <v>17.341581667259554</v>
      </c>
      <c r="I205" s="2">
        <f>$AD205*AH205</f>
        <v>0.99155122842029775</v>
      </c>
      <c r="J205" s="2">
        <f>$E205*AI205</f>
        <v>10.999999999999984</v>
      </c>
      <c r="K205" s="2">
        <f>$E205*AJ205</f>
        <v>45.637735849056533</v>
      </c>
      <c r="L205" s="2">
        <f>$E205*AK205</f>
        <v>42.999999999999901</v>
      </c>
      <c r="M205" s="2">
        <f>$E205*(AB205/100)</f>
        <v>23.077897574369</v>
      </c>
      <c r="N205" s="2">
        <f>$E205*AL205</f>
        <v>0</v>
      </c>
      <c r="O205" s="2">
        <f>$E205*(AA205/100)</f>
        <v>104.84366576559998</v>
      </c>
      <c r="P205" s="2">
        <f>$E205*AM205</f>
        <v>5.059534883720886</v>
      </c>
      <c r="Q205" s="2">
        <f>$E205*AN205</f>
        <v>2.5999999999999868</v>
      </c>
      <c r="R205" s="2">
        <f>$E205*AQ205</f>
        <v>1.3595348837209131</v>
      </c>
      <c r="S205" s="2">
        <f>$E205*AO205</f>
        <v>6.948517520215594</v>
      </c>
      <c r="T205" s="2">
        <f>$E205*AP205</f>
        <v>3.0242587601077973</v>
      </c>
      <c r="U205" s="2">
        <f>S205-T205</f>
        <v>3.9242587601077967</v>
      </c>
      <c r="V205" s="1">
        <f>F205/D205</f>
        <v>0.23997382278249957</v>
      </c>
      <c r="W205" s="1">
        <f>(F205+M205+N205+P205)/(D205+M205+N205+Q205)</f>
        <v>0.29566685691671185</v>
      </c>
      <c r="X205" s="1">
        <f>(G205+H205*2+I205*3+J205*4)/D205</f>
        <v>0.37870381199499975</v>
      </c>
      <c r="Y205" s="1">
        <f>W205+X205</f>
        <v>0.6743706689117116</v>
      </c>
      <c r="Z205">
        <v>0.30324361639999903</v>
      </c>
      <c r="AA205">
        <v>26.145552559999999</v>
      </c>
      <c r="AB205">
        <v>5.7550866769000004</v>
      </c>
      <c r="AD205" s="2">
        <f>(D205-O205-J205+Q205)*Z205</f>
        <v>77.527070983042975</v>
      </c>
      <c r="AE205">
        <v>0.22371830000000001</v>
      </c>
      <c r="AF205">
        <v>0.74873417721518898</v>
      </c>
      <c r="AG205">
        <v>0.22368421052631501</v>
      </c>
      <c r="AH205">
        <v>1.27897419036658E-2</v>
      </c>
      <c r="AI205">
        <v>2.7431421446384E-2</v>
      </c>
      <c r="AJ205">
        <v>0.113809815084929</v>
      </c>
      <c r="AK205">
        <v>0.10723192019950099</v>
      </c>
      <c r="AL205">
        <v>0</v>
      </c>
      <c r="AM205">
        <v>1.2617293974366299E-2</v>
      </c>
      <c r="AN205">
        <v>6.4837905236907398E-3</v>
      </c>
      <c r="AO205">
        <v>1.7327973865874299E-2</v>
      </c>
      <c r="AP205">
        <v>7.54179241922144E-3</v>
      </c>
      <c r="AQ205">
        <v>3.3903613060371901E-3</v>
      </c>
    </row>
    <row r="206" spans="1:43" x14ac:dyDescent="0.4">
      <c r="A206" t="s">
        <v>49</v>
      </c>
      <c r="B206" s="3" t="s">
        <v>55</v>
      </c>
      <c r="C206" s="4">
        <f>K206*1.9+G206*2.6+H206*5.2+I206*7.8+J206*10.4+L206*1.9+S206*4.2+M206*2.6+P206*2.6</f>
        <v>632.68660842491749</v>
      </c>
      <c r="D206" s="2">
        <f>E206-M206-P206-Q206-R206</f>
        <v>335.82990957719397</v>
      </c>
      <c r="E206">
        <v>371</v>
      </c>
      <c r="F206" s="2">
        <f>AD206+J206</f>
        <v>83.825089866992599</v>
      </c>
      <c r="G206" s="2">
        <f>$AD206*AF206</f>
        <v>53.617936991981075</v>
      </c>
      <c r="H206" s="2">
        <f>$AD206*AG206</f>
        <v>15.916686637109462</v>
      </c>
      <c r="I206" s="2">
        <f>$AD206*AH206</f>
        <v>2.0063992310159033</v>
      </c>
      <c r="J206" s="2">
        <f>$E206*AI206</f>
        <v>12.199999999999951</v>
      </c>
      <c r="K206" s="2">
        <f>$E206*AJ206</f>
        <v>45.094736842105071</v>
      </c>
      <c r="L206" s="2">
        <f>$E206*AK206</f>
        <v>44.999999999999794</v>
      </c>
      <c r="M206" s="2">
        <f>$E206*(AB206/100)</f>
        <v>25.289473682717997</v>
      </c>
      <c r="N206" s="2">
        <f>$E206*AL206</f>
        <v>1.5859649122806951</v>
      </c>
      <c r="O206" s="2">
        <f>$E206*(AA206/100)</f>
        <v>94.842105246700001</v>
      </c>
      <c r="P206" s="2">
        <f>$E206*AM206</f>
        <v>7.2806167400880692</v>
      </c>
      <c r="Q206" s="2">
        <f>$E206*AN206</f>
        <v>2.5999999999999881</v>
      </c>
      <c r="R206" s="2">
        <f>$E206*AQ206</f>
        <v>0</v>
      </c>
      <c r="S206" s="2">
        <f>$E206*AO206</f>
        <v>2.8859649122806856</v>
      </c>
      <c r="T206" s="2">
        <f>$E206*AP206</f>
        <v>0.99298245614034308</v>
      </c>
      <c r="U206" s="2">
        <f>S206-T206</f>
        <v>1.8929824561403426</v>
      </c>
      <c r="V206" s="1">
        <f>F206/D206</f>
        <v>0.24960578994446156</v>
      </c>
      <c r="W206" s="1">
        <f>(F206+M206+N206+P206)/(D206+M206+N206+Q206)</f>
        <v>0.32296583061923045</v>
      </c>
      <c r="X206" s="1">
        <f>(G206+H206*2+I206*3+J206*4)/D206</f>
        <v>0.41768319008823984</v>
      </c>
      <c r="Y206" s="1">
        <f>W206+X206</f>
        <v>0.7406490207074703</v>
      </c>
      <c r="Z206">
        <v>0.30954565680000001</v>
      </c>
      <c r="AA206">
        <v>25.563909769999999</v>
      </c>
      <c r="AB206">
        <v>6.8165697258</v>
      </c>
      <c r="AD206" s="2">
        <f>(D206-O206-J206+Q206)*Z206</f>
        <v>71.625089866992653</v>
      </c>
      <c r="AE206">
        <v>0.224840023</v>
      </c>
      <c r="AF206">
        <v>0.74859154929577398</v>
      </c>
      <c r="AG206">
        <v>0.22222222222222199</v>
      </c>
      <c r="AH206">
        <v>2.8012519561815202E-2</v>
      </c>
      <c r="AI206">
        <v>3.2884097035040298E-2</v>
      </c>
      <c r="AJ206">
        <v>0.121549155908639</v>
      </c>
      <c r="AK206">
        <v>0.12129380053908299</v>
      </c>
      <c r="AL206">
        <v>4.2748380384924397E-3</v>
      </c>
      <c r="AM206">
        <v>1.9624303881639001E-2</v>
      </c>
      <c r="AN206">
        <v>7.0080862533692398E-3</v>
      </c>
      <c r="AO206">
        <v>7.7788811651770496E-3</v>
      </c>
      <c r="AP206">
        <v>2.6765025771976901E-3</v>
      </c>
      <c r="AQ206">
        <v>0</v>
      </c>
    </row>
    <row r="207" spans="1:43" x14ac:dyDescent="0.4">
      <c r="A207" t="s">
        <v>229</v>
      </c>
      <c r="B207" t="s">
        <v>237</v>
      </c>
      <c r="C207" s="4">
        <f>K207*1.9+G207*2.6+H207*5.2+I207*7.8+J207*10.4+L207*1.9+S207*4.2+M207*2.6+P207*2.6</f>
        <v>621.14120359157357</v>
      </c>
      <c r="D207" s="2">
        <f>E207-M207-P207-Q207-R207</f>
        <v>316.14484445746467</v>
      </c>
      <c r="E207">
        <v>353</v>
      </c>
      <c r="F207" s="2">
        <f>AD207+J207</f>
        <v>68.926110227291247</v>
      </c>
      <c r="G207" s="2">
        <f>$AD207*AF207</f>
        <v>38.936204475538155</v>
      </c>
      <c r="H207" s="2">
        <f>$AD207*AG207</f>
        <v>13.181527556822822</v>
      </c>
      <c r="I207" s="2">
        <f>$AD207*AH207</f>
        <v>0.40558546328685541</v>
      </c>
      <c r="J207" s="2">
        <f>$E207*AI207</f>
        <v>16.199999999999953</v>
      </c>
      <c r="K207" s="2">
        <f>$E207*AJ207</f>
        <v>42.605418719211464</v>
      </c>
      <c r="L207" s="2">
        <f>$E207*AK207</f>
        <v>47.999999999999787</v>
      </c>
      <c r="M207" s="2">
        <f>$E207*(AB207/100)</f>
        <v>32.016995072867999</v>
      </c>
      <c r="N207" s="2">
        <f>$E207*AL207</f>
        <v>0.9869458128078813</v>
      </c>
      <c r="O207" s="2">
        <f>$E207*(AA207/100)</f>
        <v>114.7684729031</v>
      </c>
      <c r="P207" s="2">
        <f>$E207*AM207</f>
        <v>2.8381604696673182</v>
      </c>
      <c r="Q207" s="2">
        <f>$E207*AN207</f>
        <v>2</v>
      </c>
      <c r="R207" s="2">
        <f>$E207*AQ207</f>
        <v>0</v>
      </c>
      <c r="S207" s="2">
        <f>$E207*AO207</f>
        <v>4.0347290640393814</v>
      </c>
      <c r="T207" s="2">
        <f>$E207*AP207</f>
        <v>0.98694581280787774</v>
      </c>
      <c r="U207" s="2">
        <f>S207-T207</f>
        <v>3.0477832512315035</v>
      </c>
      <c r="V207" s="1">
        <f>F207/D207</f>
        <v>0.21802066817055063</v>
      </c>
      <c r="W207" s="1">
        <f>(F207+M207+N207+P207)/(D207+M207+N207+Q207)</f>
        <v>0.29835846215516748</v>
      </c>
      <c r="X207" s="1">
        <f>(G207+H207*2+I207*3+J207*4)/D207</f>
        <v>0.41536662160154864</v>
      </c>
      <c r="Y207" s="1">
        <f>W207+X207</f>
        <v>0.71372508375671617</v>
      </c>
      <c r="Z207">
        <v>0.28169212700000001</v>
      </c>
      <c r="AA207">
        <v>32.512315270000002</v>
      </c>
      <c r="AB207">
        <v>9.0699702755999994</v>
      </c>
      <c r="AD207" s="2">
        <f>(D207-O207-J207+Q207)*Z207</f>
        <v>52.726110227291286</v>
      </c>
      <c r="AE207">
        <v>0.194509826</v>
      </c>
      <c r="AF207">
        <v>0.73846153846153795</v>
      </c>
      <c r="AG207">
        <v>0.25</v>
      </c>
      <c r="AH207">
        <v>7.6923076923076797E-3</v>
      </c>
      <c r="AI207">
        <v>4.5892351274787399E-2</v>
      </c>
      <c r="AJ207">
        <v>0.120695237164905</v>
      </c>
      <c r="AK207">
        <v>0.13597733711048099</v>
      </c>
      <c r="AL207">
        <v>2.7958804895407401E-3</v>
      </c>
      <c r="AM207">
        <v>8.0401146449499104E-3</v>
      </c>
      <c r="AN207">
        <v>5.6657223796033997E-3</v>
      </c>
      <c r="AO207">
        <v>1.14298273768821E-2</v>
      </c>
      <c r="AP207">
        <v>2.7958804895407302E-3</v>
      </c>
      <c r="AQ207">
        <v>0</v>
      </c>
    </row>
    <row r="208" spans="1:43" x14ac:dyDescent="0.4">
      <c r="A208" t="s">
        <v>229</v>
      </c>
      <c r="B208" s="3" t="s">
        <v>232</v>
      </c>
      <c r="C208" s="4">
        <f>K208*1.9+G208*2.6+H208*5.2+I208*7.8+J208*10.4+L208*1.9+S208*4.2+M208*2.6+P208*2.6</f>
        <v>615.7158976498846</v>
      </c>
      <c r="D208" s="2">
        <f>E208-M208-P208-Q208-R208</f>
        <v>326.27004973153623</v>
      </c>
      <c r="E208">
        <v>368</v>
      </c>
      <c r="F208" s="2">
        <f>AD208+J208</f>
        <v>83.956740745814713</v>
      </c>
      <c r="G208" s="2">
        <f>$AD208*AF208</f>
        <v>57.736948952857269</v>
      </c>
      <c r="H208" s="2">
        <f>$AD208*AG208</f>
        <v>16.206862863959927</v>
      </c>
      <c r="I208" s="2">
        <f>$AD208*AH208</f>
        <v>1.0129289289974954</v>
      </c>
      <c r="J208" s="2">
        <f>$E208*AI208</f>
        <v>8.9999999999999876</v>
      </c>
      <c r="K208" s="2">
        <f>$E208*AJ208</f>
        <v>43.829145728642942</v>
      </c>
      <c r="L208" s="2">
        <f>$E208*AK208</f>
        <v>38.999999999999915</v>
      </c>
      <c r="M208" s="2">
        <f>$E208*(AB208/100)</f>
        <v>34.853266330639997</v>
      </c>
      <c r="N208" s="2">
        <f>$E208*AL208</f>
        <v>0</v>
      </c>
      <c r="O208" s="2">
        <f>$E208*(AA208/100)</f>
        <v>78.592964825600006</v>
      </c>
      <c r="P208" s="2">
        <f>$E208*AM208</f>
        <v>4.0766839378238187</v>
      </c>
      <c r="Q208" s="2">
        <f>$E208*AN208</f>
        <v>2.3999999999999768</v>
      </c>
      <c r="R208" s="2">
        <f>$E208*AQ208</f>
        <v>0.39999999999999619</v>
      </c>
      <c r="S208" s="2">
        <f>$E208*AO208</f>
        <v>5.0547738693467226</v>
      </c>
      <c r="T208" s="2">
        <f>$E208*AP208</f>
        <v>0.99246231155777842</v>
      </c>
      <c r="U208" s="2">
        <f>S208-T208</f>
        <v>4.0623115577889441</v>
      </c>
      <c r="V208" s="1">
        <f>F208/D208</f>
        <v>0.25732285514682263</v>
      </c>
      <c r="W208" s="1">
        <f>(F208+M208+N208+P208)/(D208+M208+N208+Q208)</f>
        <v>0.33804349153015611</v>
      </c>
      <c r="X208" s="1">
        <f>(G208+H208*2+I208*3+J208*4)/D208</f>
        <v>0.3959586899688467</v>
      </c>
      <c r="Y208" s="1">
        <f>W208+X208</f>
        <v>0.73400218149900276</v>
      </c>
      <c r="Z208">
        <v>0.31092437000000001</v>
      </c>
      <c r="AA208">
        <v>21.356783920000002</v>
      </c>
      <c r="AB208">
        <v>9.4709962855000001</v>
      </c>
      <c r="AD208" s="2">
        <f>(D208-O208-J208+Q208)*Z208</f>
        <v>74.956740745814727</v>
      </c>
      <c r="AE208">
        <v>0.22718739399999999</v>
      </c>
      <c r="AF208">
        <v>0.77027027027026995</v>
      </c>
      <c r="AG208">
        <v>0.21621621621621601</v>
      </c>
      <c r="AH208">
        <v>1.35135135135135E-2</v>
      </c>
      <c r="AI208">
        <v>2.4456521739130401E-2</v>
      </c>
      <c r="AJ208">
        <v>0.11910093948000799</v>
      </c>
      <c r="AK208">
        <v>0.10597826086956499</v>
      </c>
      <c r="AL208">
        <v>0</v>
      </c>
      <c r="AM208">
        <v>1.1077945483216899E-2</v>
      </c>
      <c r="AN208">
        <v>6.5217391304347198E-3</v>
      </c>
      <c r="AO208">
        <v>1.3735798558007399E-2</v>
      </c>
      <c r="AP208">
        <v>2.6969084553200499E-3</v>
      </c>
      <c r="AQ208">
        <v>1.08695652173912E-3</v>
      </c>
    </row>
    <row r="209" spans="1:43" x14ac:dyDescent="0.4">
      <c r="A209" t="s">
        <v>80</v>
      </c>
      <c r="B209" s="3" t="s">
        <v>82</v>
      </c>
      <c r="C209" s="4">
        <f>K209*1.9+G209*2.6+H209*5.2+I209*7.8+J209*10.4+L209*1.9+S209*4.2+M209*2.6+P209*2.6</f>
        <v>606.51597673682159</v>
      </c>
      <c r="D209" s="2">
        <f>E209-M209-P209-Q209-R209</f>
        <v>382.1242832842147</v>
      </c>
      <c r="E209">
        <v>407</v>
      </c>
      <c r="F209" s="2">
        <f>AD209+J209</f>
        <v>93.654539284043423</v>
      </c>
      <c r="G209" s="2">
        <f>$AD209*AF209</f>
        <v>64.331123346375961</v>
      </c>
      <c r="H209" s="2">
        <f>$AD209*AG209</f>
        <v>17.925080808587726</v>
      </c>
      <c r="I209" s="2">
        <f>$AD209*AH209</f>
        <v>1.0006955681758918</v>
      </c>
      <c r="J209" s="2">
        <f>$E209*AI209</f>
        <v>10.999999999999989</v>
      </c>
      <c r="K209" s="2">
        <f>$E209*AJ209</f>
        <v>40.918367346938503</v>
      </c>
      <c r="L209" s="2">
        <f>$E209*AK209</f>
        <v>42.999999999999737</v>
      </c>
      <c r="M209" s="2">
        <f>$E209*(AB209/100)</f>
        <v>17.079883382452</v>
      </c>
      <c r="N209" s="2">
        <f>$E209*AL209</f>
        <v>0.61865889212826697</v>
      </c>
      <c r="O209" s="2">
        <f>$E209*(AA209/100)</f>
        <v>85.434402314799996</v>
      </c>
      <c r="P209" s="2">
        <f>$E209*AM209</f>
        <v>2.9422619047618723</v>
      </c>
      <c r="Q209" s="2">
        <f>$E209*AN209</f>
        <v>2.5999999999999766</v>
      </c>
      <c r="R209" s="2">
        <f>$E209*AQ209</f>
        <v>2.2535714285714135</v>
      </c>
      <c r="S209" s="2">
        <f>$E209*AO209</f>
        <v>2.937317784256531</v>
      </c>
      <c r="T209" s="2">
        <f>$E209*AP209</f>
        <v>1.0186588921282578</v>
      </c>
      <c r="U209" s="2">
        <f>S209-T209</f>
        <v>1.9186588921282732</v>
      </c>
      <c r="V209" s="1">
        <f>F209/D209</f>
        <v>0.24508921149715437</v>
      </c>
      <c r="W209" s="1">
        <f>(F209+M209+N209+P209)/(D209+M209+N209+Q209)</f>
        <v>0.2840180432227663</v>
      </c>
      <c r="X209" s="1">
        <f>(G209+H209*2+I209*3+J209*4)/D209</f>
        <v>0.38517146935309426</v>
      </c>
      <c r="Y209" s="1">
        <f>W209+X209</f>
        <v>0.66918951257586057</v>
      </c>
      <c r="Z209">
        <v>0.28670634919999999</v>
      </c>
      <c r="AA209">
        <v>20.99125364</v>
      </c>
      <c r="AB209">
        <v>4.1965315435999999</v>
      </c>
      <c r="AD209" s="2">
        <f>(D209-O209-J209+Q209)*Z209</f>
        <v>82.654539284043437</v>
      </c>
      <c r="AE209">
        <v>0.23272635799999999</v>
      </c>
      <c r="AF209">
        <v>0.77831325301204801</v>
      </c>
      <c r="AG209">
        <v>0.21686746987951799</v>
      </c>
      <c r="AH209">
        <v>1.21069644431383E-2</v>
      </c>
      <c r="AI209">
        <v>2.7027027027027001E-2</v>
      </c>
      <c r="AJ209">
        <v>0.100536529107957</v>
      </c>
      <c r="AK209">
        <v>0.105651105651105</v>
      </c>
      <c r="AL209">
        <v>1.52004641800557E-3</v>
      </c>
      <c r="AM209">
        <v>7.2291447291446499E-3</v>
      </c>
      <c r="AN209">
        <v>6.3882063882063304E-3</v>
      </c>
      <c r="AO209">
        <v>7.2169970129153096E-3</v>
      </c>
      <c r="AP209">
        <v>2.5028474008065302E-3</v>
      </c>
      <c r="AQ209">
        <v>5.5370305370305E-3</v>
      </c>
    </row>
    <row r="210" spans="1:43" x14ac:dyDescent="0.4">
      <c r="A210" t="s">
        <v>61</v>
      </c>
      <c r="B210" s="3" t="s">
        <v>68</v>
      </c>
      <c r="C210" s="4">
        <f>K210*1.9+G210*2.6+H210*5.2+I210*7.8+J210*10.4+L210*1.9+S210*4.2+M210*2.6+P210*2.6</f>
        <v>587.31659544982131</v>
      </c>
      <c r="D210" s="2">
        <f>E210-M210-P210-Q210-R210</f>
        <v>315.007766598621</v>
      </c>
      <c r="E210">
        <v>353</v>
      </c>
      <c r="F210" s="2">
        <f>AD210+J210</f>
        <v>74.388456552056454</v>
      </c>
      <c r="G210" s="2">
        <f>$AD210*AF210</f>
        <v>48.034000917076149</v>
      </c>
      <c r="H210" s="2">
        <f>$AD210*AG210</f>
        <v>16.597114138014113</v>
      </c>
      <c r="I210" s="2">
        <f>$AD210*AH210</f>
        <v>1.9526016632957746</v>
      </c>
      <c r="J210" s="2">
        <f>$E210*AI210</f>
        <v>8</v>
      </c>
      <c r="K210" s="2">
        <f>$E210*AJ210</f>
        <v>43.060916442048466</v>
      </c>
      <c r="L210" s="2">
        <f>$E210*AK210</f>
        <v>36.999999999999687</v>
      </c>
      <c r="M210" s="2">
        <f>$E210*(AB210/100)</f>
        <v>33.601078166721997</v>
      </c>
      <c r="N210" s="2">
        <f>$E210*AL210</f>
        <v>0.99514824797843626</v>
      </c>
      <c r="O210" s="2">
        <f>$E210*(AA210/100)</f>
        <v>93.245283020200006</v>
      </c>
      <c r="P210" s="2">
        <f>$E210*AM210</f>
        <v>1.991155234657038</v>
      </c>
      <c r="Q210" s="2">
        <f>$E210*AN210</f>
        <v>2</v>
      </c>
      <c r="R210" s="2">
        <f>$E210*AQ210</f>
        <v>0.4</v>
      </c>
      <c r="S210" s="2">
        <f>$E210*AO210</f>
        <v>7.866037735849047</v>
      </c>
      <c r="T210" s="2">
        <f>$E210*AP210</f>
        <v>2.0854447439353052</v>
      </c>
      <c r="U210" s="2">
        <f>S210-T210</f>
        <v>5.7805929919137418</v>
      </c>
      <c r="V210" s="1">
        <f>F210/D210</f>
        <v>0.23614800788972706</v>
      </c>
      <c r="W210" s="1">
        <f>(F210+M210+N210+P210)/(D210+M210+N210+Q210)</f>
        <v>0.31562735465637709</v>
      </c>
      <c r="X210" s="1">
        <f>(G210+H210*2+I210*3+J210*4)/D210</f>
        <v>0.37804158122466119</v>
      </c>
      <c r="Y210" s="1">
        <f>W210+X210</f>
        <v>0.69366893588103828</v>
      </c>
      <c r="Z210">
        <v>0.30769230800000003</v>
      </c>
      <c r="AA210">
        <v>26.41509434</v>
      </c>
      <c r="AB210">
        <v>9.5187190273999995</v>
      </c>
      <c r="AD210" s="2">
        <f>(D210-O210-J210+Q210)*Z210</f>
        <v>66.388456552056454</v>
      </c>
      <c r="AE210">
        <v>0.21394354099999999</v>
      </c>
      <c r="AF210">
        <v>0.72352941176470598</v>
      </c>
      <c r="AG210">
        <v>0.25</v>
      </c>
      <c r="AH210">
        <v>2.94117647058823E-2</v>
      </c>
      <c r="AI210">
        <v>2.2662889518413599E-2</v>
      </c>
      <c r="AJ210">
        <v>0.121985598985973</v>
      </c>
      <c r="AK210">
        <v>0.10481586402266201</v>
      </c>
      <c r="AL210">
        <v>2.8191168497972699E-3</v>
      </c>
      <c r="AM210">
        <v>5.6406663871304196E-3</v>
      </c>
      <c r="AN210">
        <v>5.6657223796033997E-3</v>
      </c>
      <c r="AO210">
        <v>2.2283393019402398E-2</v>
      </c>
      <c r="AP210">
        <v>5.9077754785702699E-3</v>
      </c>
      <c r="AQ210">
        <v>1.13314447592068E-3</v>
      </c>
    </row>
    <row r="211" spans="1:43" x14ac:dyDescent="0.4">
      <c r="A211" t="s">
        <v>199</v>
      </c>
      <c r="B211" s="3" t="s">
        <v>202</v>
      </c>
      <c r="C211" s="4">
        <f>K211*1.9+G211*2.6+H211*5.2+I211*7.8+J211*10.4+L211*1.9+S211*4.2+M211*2.6+P211*2.6</f>
        <v>584.32411884671274</v>
      </c>
      <c r="D211" s="2">
        <f>E211-M211-P211-Q211-R211</f>
        <v>330.5947004807656</v>
      </c>
      <c r="E211">
        <v>366</v>
      </c>
      <c r="F211" s="2">
        <f>AD211+J211</f>
        <v>77.790910962319884</v>
      </c>
      <c r="G211" s="2">
        <f>$AD211*AF211</f>
        <v>51.548679143382444</v>
      </c>
      <c r="H211" s="2">
        <f>$AD211*AG211</f>
        <v>14.040496264734523</v>
      </c>
      <c r="I211" s="2">
        <f>$AD211*AH211</f>
        <v>0.40115703613527093</v>
      </c>
      <c r="J211" s="2">
        <f>$E211*AI211</f>
        <v>11.599999999999945</v>
      </c>
      <c r="K211" s="2">
        <f>$E211*AJ211</f>
        <v>40.515039577836241</v>
      </c>
      <c r="L211" s="2">
        <f>$E211*AK211</f>
        <v>44.99999999999995</v>
      </c>
      <c r="M211" s="2">
        <f>$E211*(AB211/100)</f>
        <v>26.29709762649</v>
      </c>
      <c r="N211" s="2">
        <f>$E211*AL211</f>
        <v>0</v>
      </c>
      <c r="O211" s="2">
        <f>$E211*(AA211/100)</f>
        <v>102.3641160918</v>
      </c>
      <c r="P211" s="2">
        <f>$E211*AM211</f>
        <v>7.1082018927444279</v>
      </c>
      <c r="Q211" s="2">
        <f>$E211*AN211</f>
        <v>1.9999999999999853</v>
      </c>
      <c r="R211" s="2">
        <f>$E211*AQ211</f>
        <v>0</v>
      </c>
      <c r="S211" s="2">
        <f>$E211*AO211</f>
        <v>0.99656992084430296</v>
      </c>
      <c r="T211" s="2">
        <f>$E211*AP211</f>
        <v>0</v>
      </c>
      <c r="U211" s="2">
        <f>S211-T211</f>
        <v>0.99656992084430296</v>
      </c>
      <c r="V211" s="1">
        <f>F211/D211</f>
        <v>0.23530598297308716</v>
      </c>
      <c r="W211" s="1">
        <f>(F211+M211+N211+P211)/(D211+M211+N211+Q211)</f>
        <v>0.30983213065327031</v>
      </c>
      <c r="X211" s="1">
        <f>(G211+H211*2+I211*3+J211*4)/D211</f>
        <v>0.38486141065246643</v>
      </c>
      <c r="Y211" s="1">
        <f>W211+X211</f>
        <v>0.69469354130573668</v>
      </c>
      <c r="Z211">
        <v>0.30275229399999998</v>
      </c>
      <c r="AA211">
        <v>27.968337729999998</v>
      </c>
      <c r="AB211">
        <v>7.1849993515000001</v>
      </c>
      <c r="AD211" s="2">
        <f>(D211-O211-J211+Q211)*Z211</f>
        <v>66.190910962319933</v>
      </c>
      <c r="AE211">
        <v>0.211297287</v>
      </c>
      <c r="AF211">
        <v>0.77878787878787803</v>
      </c>
      <c r="AG211">
        <v>0.21212121212121199</v>
      </c>
      <c r="AH211">
        <v>6.0606060606060398E-3</v>
      </c>
      <c r="AI211">
        <v>3.1693989071038098E-2</v>
      </c>
      <c r="AJ211">
        <v>0.11069682944764</v>
      </c>
      <c r="AK211">
        <v>0.12295081967213101</v>
      </c>
      <c r="AL211">
        <v>0</v>
      </c>
      <c r="AM211">
        <v>1.9421316646842698E-2</v>
      </c>
      <c r="AN211">
        <v>5.4644808743169E-3</v>
      </c>
      <c r="AO211">
        <v>2.7228686361866201E-3</v>
      </c>
      <c r="AP211">
        <v>0</v>
      </c>
      <c r="AQ211">
        <v>0</v>
      </c>
    </row>
    <row r="212" spans="1:43" x14ac:dyDescent="0.4">
      <c r="A212" t="s">
        <v>138</v>
      </c>
      <c r="B212" s="3" t="s">
        <v>139</v>
      </c>
      <c r="C212" s="4">
        <f>K212*1.9+G212*2.6+H212*5.2+I212*7.8+J212*10.4+L212*1.9+S212*4.2+M212*2.6+P212*2.6</f>
        <v>562.83513913074887</v>
      </c>
      <c r="D212" s="2">
        <f>E212-M212-P212-Q212-R212</f>
        <v>288.68241758246336</v>
      </c>
      <c r="E212">
        <v>320</v>
      </c>
      <c r="F212" s="2">
        <f>AD212+J212</f>
        <v>70.198062972096736</v>
      </c>
      <c r="G212" s="2">
        <f>$AD212*AF212</f>
        <v>40.857251411309704</v>
      </c>
      <c r="H212" s="2">
        <f>$AD212*AG212</f>
        <v>15.944293233681844</v>
      </c>
      <c r="I212" s="2">
        <f>$AD212*AH212</f>
        <v>1.0035114381725192</v>
      </c>
      <c r="J212" s="2">
        <f>$E212*AI212</f>
        <v>12.4</v>
      </c>
      <c r="K212" s="2">
        <f>$E212*AJ212</f>
        <v>41.085714285714239</v>
      </c>
      <c r="L212" s="2">
        <f>$E212*AK212</f>
        <v>39</v>
      </c>
      <c r="M212" s="2">
        <f>$E212*(AB212/100)</f>
        <v>24.114285714240001</v>
      </c>
      <c r="N212" s="2">
        <f>$E212*AL212</f>
        <v>0.89999999999999991</v>
      </c>
      <c r="O212" s="2">
        <f>$E212*(AA212/100)</f>
        <v>77.714285728000007</v>
      </c>
      <c r="P212" s="2">
        <f>$E212*AM212</f>
        <v>5.2032967032966715</v>
      </c>
      <c r="Q212" s="2">
        <f>$E212*AN212</f>
        <v>2</v>
      </c>
      <c r="R212" s="2">
        <f>$E212*AQ212</f>
        <v>0</v>
      </c>
      <c r="S212" s="2">
        <f>$E212*AO212</f>
        <v>2.0285714285714271</v>
      </c>
      <c r="T212" s="2">
        <f>$E212*AP212</f>
        <v>1.1285714285714272</v>
      </c>
      <c r="U212" s="2">
        <f>S212-T212</f>
        <v>0.89999999999999991</v>
      </c>
      <c r="V212" s="1">
        <f>F212/D212</f>
        <v>0.2431670884564501</v>
      </c>
      <c r="W212" s="1">
        <f>(F212+M212+N212+P212)/(D212+M212+N212+Q212)</f>
        <v>0.3180763192679244</v>
      </c>
      <c r="X212" s="1">
        <f>(G212+H212*2+I212*3+J212*4)/D212</f>
        <v>0.43423625603170785</v>
      </c>
      <c r="Y212" s="1">
        <f>W212+X212</f>
        <v>0.75231257529963225</v>
      </c>
      <c r="Z212">
        <v>0.28817171720000001</v>
      </c>
      <c r="AA212">
        <v>24.285714290000001</v>
      </c>
      <c r="AB212">
        <v>7.5357142857000001</v>
      </c>
      <c r="AD212" s="2">
        <f>(D212-O212-J212+Q212)*Z212</f>
        <v>57.79806297209673</v>
      </c>
      <c r="AE212">
        <v>0.221803949</v>
      </c>
      <c r="AF212">
        <v>0.70689655172413701</v>
      </c>
      <c r="AG212">
        <v>0.27586206896551702</v>
      </c>
      <c r="AH212">
        <v>1.7362371445855999E-2</v>
      </c>
      <c r="AI212">
        <v>3.875E-2</v>
      </c>
      <c r="AJ212">
        <v>0.128392857142857</v>
      </c>
      <c r="AK212">
        <v>0.121875</v>
      </c>
      <c r="AL212">
        <v>2.8124999999999999E-3</v>
      </c>
      <c r="AM212">
        <v>1.6260302197802098E-2</v>
      </c>
      <c r="AN212">
        <v>6.2500000000000003E-3</v>
      </c>
      <c r="AO212">
        <v>6.3392857142857096E-3</v>
      </c>
      <c r="AP212">
        <v>3.5267857142857102E-3</v>
      </c>
      <c r="AQ212">
        <v>0</v>
      </c>
    </row>
    <row r="213" spans="1:43" x14ac:dyDescent="0.4">
      <c r="A213" t="s">
        <v>162</v>
      </c>
      <c r="B213" s="3" t="s">
        <v>166</v>
      </c>
      <c r="C213" s="4">
        <f>K213*1.9+G213*2.6+H213*5.2+I213*7.8+J213*10.4+L213*1.9+S213*4.2+M213*2.6+P213*2.6</f>
        <v>559.16855140189375</v>
      </c>
      <c r="D213" s="2">
        <f>E213-M213-P213-Q213-R213</f>
        <v>296.12741186159889</v>
      </c>
      <c r="E213">
        <v>345</v>
      </c>
      <c r="F213" s="2">
        <f>AD213+J213</f>
        <v>67.093571013513213</v>
      </c>
      <c r="G213" s="2">
        <f>$AD213*AF213</f>
        <v>44.656815939282168</v>
      </c>
      <c r="H213" s="2">
        <f>$AD213*AG213</f>
        <v>12.673607052927826</v>
      </c>
      <c r="I213" s="2">
        <f>$AD213*AH213</f>
        <v>1.0016724901788034</v>
      </c>
      <c r="J213" s="2">
        <f>$E213*AI213</f>
        <v>8.5999999999999801</v>
      </c>
      <c r="K213" s="2">
        <f>$E213*AJ213</f>
        <v>41.538961038960721</v>
      </c>
      <c r="L213" s="2">
        <f>$E213*AK213</f>
        <v>30.999999999999996</v>
      </c>
      <c r="M213" s="2">
        <f>$E213*(AB213/100)</f>
        <v>43.516558453800002</v>
      </c>
      <c r="N213" s="2">
        <f>$E213*AL213</f>
        <v>1.0120129870129602</v>
      </c>
      <c r="O213" s="2">
        <f>$E213*(AA213/100)</f>
        <v>110.89285713299999</v>
      </c>
      <c r="P213" s="2">
        <f>$E213*AM213</f>
        <v>2.9560296846010985</v>
      </c>
      <c r="Q213" s="2">
        <f>$E213*AN213</f>
        <v>1.9999999999999785</v>
      </c>
      <c r="R213" s="2">
        <f>$E213*AQ213</f>
        <v>0.39999999999998875</v>
      </c>
      <c r="S213" s="2">
        <f>$E213*AO213</f>
        <v>5.0600649350649043</v>
      </c>
      <c r="T213" s="2">
        <f>$E213*AP213</f>
        <v>1.0120129870129602</v>
      </c>
      <c r="U213" s="2">
        <f>S213-T213</f>
        <v>4.0480519480519437</v>
      </c>
      <c r="V213" s="1">
        <f>F213/D213</f>
        <v>0.22656994363247515</v>
      </c>
      <c r="W213" s="1">
        <f>(F213+M213+N213+P213)/(D213+M213+N213+Q213)</f>
        <v>0.33438252277009284</v>
      </c>
      <c r="X213" s="1">
        <f>(G213+H213*2+I213*3+J213*4)/D213</f>
        <v>0.36271227591005301</v>
      </c>
      <c r="Y213" s="1">
        <f>W213+X213</f>
        <v>0.6970947986801459</v>
      </c>
      <c r="Z213">
        <v>0.32744824259999999</v>
      </c>
      <c r="AA213">
        <v>32.142857139999997</v>
      </c>
      <c r="AB213">
        <v>12.613495203999999</v>
      </c>
      <c r="AD213" s="2">
        <f>(D213-O213-J213+Q213)*Z213</f>
        <v>58.493571013513225</v>
      </c>
      <c r="AE213">
        <v>0.19416304000000001</v>
      </c>
      <c r="AF213">
        <v>0.76344827586206898</v>
      </c>
      <c r="AG213">
        <v>0.21666666666666601</v>
      </c>
      <c r="AH213">
        <v>1.7124488603156001E-2</v>
      </c>
      <c r="AI213">
        <v>2.4927536231884002E-2</v>
      </c>
      <c r="AJ213">
        <v>0.12040278562017601</v>
      </c>
      <c r="AK213">
        <v>8.9855072463768101E-2</v>
      </c>
      <c r="AL213">
        <v>2.93337097684916E-3</v>
      </c>
      <c r="AM213">
        <v>8.5682019843510097E-3</v>
      </c>
      <c r="AN213">
        <v>5.7971014492752999E-3</v>
      </c>
      <c r="AO213">
        <v>1.46668548842461E-2</v>
      </c>
      <c r="AP213">
        <v>2.93337097684916E-3</v>
      </c>
      <c r="AQ213">
        <v>1.1594202898550399E-3</v>
      </c>
    </row>
    <row r="214" spans="1:43" x14ac:dyDescent="0.4">
      <c r="A214" t="s">
        <v>239</v>
      </c>
      <c r="B214" s="3" t="s">
        <v>244</v>
      </c>
      <c r="C214" s="4">
        <f>K214*1.9+G214*2.6+H214*5.2+I214*7.8+J214*10.4+L214*1.9+S214*4.2+M214*2.6+P214*2.6</f>
        <v>549.40261884579274</v>
      </c>
      <c r="D214" s="2">
        <f>E214-M214-P214-Q214-R214</f>
        <v>282.01147884089767</v>
      </c>
      <c r="E214">
        <v>313</v>
      </c>
      <c r="F214" s="2">
        <f>AD214+J214</f>
        <v>61.450672157388361</v>
      </c>
      <c r="G214" s="2">
        <f>$AD214*AF214</f>
        <v>40.74464683440992</v>
      </c>
      <c r="H214" s="2">
        <f>$AD214*AG214</f>
        <v>12.011055743430186</v>
      </c>
      <c r="I214" s="2">
        <f>$AD214*AH214</f>
        <v>0.99019715503873451</v>
      </c>
      <c r="J214" s="2">
        <f>$E214*AI214</f>
        <v>6.3999999999999613</v>
      </c>
      <c r="K214" s="2">
        <f>$E214*AJ214</f>
        <v>37.837209302325292</v>
      </c>
      <c r="L214" s="2">
        <f>$E214*AK214</f>
        <v>27.999999999999982</v>
      </c>
      <c r="M214" s="2">
        <f>$E214*(AB214/100)</f>
        <v>20.495681063637001</v>
      </c>
      <c r="N214" s="2">
        <f>$E214*AL214</f>
        <v>0.10398671096345437</v>
      </c>
      <c r="O214" s="2">
        <f>$E214*(AA214/100)</f>
        <v>79.029900347199984</v>
      </c>
      <c r="P214" s="2">
        <f>$E214*AM214</f>
        <v>7.1964200477326559</v>
      </c>
      <c r="Q214" s="2">
        <f>$E214*AN214</f>
        <v>1.9999999999999762</v>
      </c>
      <c r="R214" s="2">
        <f>$E214*AQ214</f>
        <v>1.2964200477326788</v>
      </c>
      <c r="S214" s="2">
        <f>$E214*AO214</f>
        <v>26.103654485049805</v>
      </c>
      <c r="T214" s="2">
        <f>$E214*AP214</f>
        <v>7.1318936877075947</v>
      </c>
      <c r="U214" s="2">
        <f>S214-T214</f>
        <v>18.97176079734221</v>
      </c>
      <c r="V214" s="1">
        <f>F214/D214</f>
        <v>0.21790131525836567</v>
      </c>
      <c r="W214" s="1">
        <f>(F214+M214+N214+P214)/(D214+M214+N214+Q214)</f>
        <v>0.29298586401493409</v>
      </c>
      <c r="X214" s="1">
        <f>(G214+H214*2+I214*3+J214*4)/D214</f>
        <v>0.33097003770915456</v>
      </c>
      <c r="Y214" s="1">
        <f>W214+X214</f>
        <v>0.62395590172408866</v>
      </c>
      <c r="Z214">
        <v>0.2772194308</v>
      </c>
      <c r="AA214">
        <v>25.249169439999999</v>
      </c>
      <c r="AB214">
        <v>6.5481409149000003</v>
      </c>
      <c r="AD214" s="2">
        <f>(D214-O214-J214+Q214)*Z214</f>
        <v>55.050672157388398</v>
      </c>
      <c r="AE214">
        <v>0.19771718299999999</v>
      </c>
      <c r="AF214">
        <v>0.74012987012986997</v>
      </c>
      <c r="AG214">
        <v>0.218181818181818</v>
      </c>
      <c r="AH214">
        <v>1.7987012987012899E-2</v>
      </c>
      <c r="AI214">
        <v>2.0447284345047799E-2</v>
      </c>
      <c r="AJ214">
        <v>0.12088565272308401</v>
      </c>
      <c r="AK214">
        <v>8.9456869009584605E-2</v>
      </c>
      <c r="AL214">
        <v>3.3222591362125998E-4</v>
      </c>
      <c r="AM214">
        <v>2.2991757340998901E-2</v>
      </c>
      <c r="AN214">
        <v>6.3897763578274003E-3</v>
      </c>
      <c r="AO214">
        <v>8.3398257140734205E-2</v>
      </c>
      <c r="AP214">
        <v>2.27856028361265E-2</v>
      </c>
      <c r="AQ214">
        <v>4.1419170854079196E-3</v>
      </c>
    </row>
    <row r="215" spans="1:43" x14ac:dyDescent="0.4">
      <c r="A215" t="s">
        <v>115</v>
      </c>
      <c r="B215" t="s">
        <v>276</v>
      </c>
      <c r="C215" s="4">
        <f>K215*1.9+G215*2.6+H215*5.2+I215*7.8+J215*10.4+L215*1.9+S215*4.2+M215*2.6+P215*2.6</f>
        <v>538.69308048441974</v>
      </c>
      <c r="D215" s="2">
        <f>E215-M215-P215-Q215-R215</f>
        <v>324.21870009841444</v>
      </c>
      <c r="E215">
        <v>353</v>
      </c>
      <c r="F215" s="2">
        <f>AD215+J215</f>
        <v>79.649580639722146</v>
      </c>
      <c r="G215" s="2">
        <f>$AD215*AF215</f>
        <v>54.816998562088017</v>
      </c>
      <c r="H215" s="2">
        <f>$AD215*AG215</f>
        <v>14.925967740786318</v>
      </c>
      <c r="I215" s="2">
        <f>$AD215*AH215</f>
        <v>0.99830929164824134</v>
      </c>
      <c r="J215" s="2">
        <f>$E215*AI215</f>
        <v>8.9999999999999662</v>
      </c>
      <c r="K215" s="2">
        <f>$E215*AJ215</f>
        <v>38.438392857142553</v>
      </c>
      <c r="L215" s="2">
        <f>$E215*AK215</f>
        <v>37.999999999999794</v>
      </c>
      <c r="M215" s="2">
        <f>$E215*(AB215/100)</f>
        <v>22.006250001386</v>
      </c>
      <c r="N215" s="2">
        <f>$E215*AL215</f>
        <v>0</v>
      </c>
      <c r="O215" s="2">
        <f>$E215*(AA215/100)</f>
        <v>80.370535704199995</v>
      </c>
      <c r="P215" s="2">
        <f>$E215*AM215</f>
        <v>3.9522954091816063</v>
      </c>
      <c r="Q215" s="2">
        <f>$E215*AN215</f>
        <v>2</v>
      </c>
      <c r="R215" s="2">
        <f>$E215*AQ215</f>
        <v>0.8227544910179565</v>
      </c>
      <c r="S215" s="2">
        <f>$E215*AO215</f>
        <v>1.0575892857142852</v>
      </c>
      <c r="T215" s="2">
        <f>$E215*AP215</f>
        <v>0</v>
      </c>
      <c r="U215" s="2">
        <f>S215-T215</f>
        <v>1.0575892857142852</v>
      </c>
      <c r="V215" s="1">
        <f>F215/D215</f>
        <v>0.24566621424225388</v>
      </c>
      <c r="W215" s="1">
        <f>(F215+M215+N215+P215)/(D215+M215+N215+Q215)</f>
        <v>0.30327558671491722</v>
      </c>
      <c r="X215" s="1">
        <f>(G215+H215*2+I215*3+J215*4)/D215</f>
        <v>0.38142112679209406</v>
      </c>
      <c r="Y215" s="1">
        <f>W215+X215</f>
        <v>0.68469671350701122</v>
      </c>
      <c r="Z215">
        <v>0.29829059819999998</v>
      </c>
      <c r="AA215">
        <v>22.76785714</v>
      </c>
      <c r="AB215">
        <v>6.2340651561999998</v>
      </c>
      <c r="AD215" s="2">
        <f>(D215-O215-J215+Q215)*Z215</f>
        <v>70.649580639722174</v>
      </c>
      <c r="AE215">
        <v>0.229383324</v>
      </c>
      <c r="AF215">
        <v>0.77589984350547703</v>
      </c>
      <c r="AG215">
        <v>0.21126760563380201</v>
      </c>
      <c r="AH215">
        <v>1.41304347826086E-2</v>
      </c>
      <c r="AI215">
        <v>2.5495750708215199E-2</v>
      </c>
      <c r="AJ215">
        <v>0.10889063132335</v>
      </c>
      <c r="AK215">
        <v>0.10764872521246401</v>
      </c>
      <c r="AL215">
        <v>0</v>
      </c>
      <c r="AM215">
        <v>1.1196304275302001E-2</v>
      </c>
      <c r="AN215">
        <v>5.6657223796033997E-3</v>
      </c>
      <c r="AO215">
        <v>2.9960036422501E-3</v>
      </c>
      <c r="AP215">
        <v>0</v>
      </c>
      <c r="AQ215">
        <v>2.33074926633982E-3</v>
      </c>
    </row>
    <row r="216" spans="1:43" x14ac:dyDescent="0.4">
      <c r="A216" t="s">
        <v>107</v>
      </c>
      <c r="B216" s="3" t="s">
        <v>110</v>
      </c>
      <c r="C216" s="4">
        <f>K216*1.9+G216*2.6+H216*5.2+I216*7.8+J216*10.4+L216*1.9+S216*4.2+M216*2.6+P216*2.6</f>
        <v>532.7071499654063</v>
      </c>
      <c r="D216" s="2">
        <f>E216-M216-P216-Q216-R216</f>
        <v>311.484325145377</v>
      </c>
      <c r="E216">
        <v>354</v>
      </c>
      <c r="F216" s="2">
        <f>AD216+J216</f>
        <v>67.964923415981104</v>
      </c>
      <c r="G216" s="2">
        <f>$AD216*AF216</f>
        <v>44.421473210753909</v>
      </c>
      <c r="H216" s="2">
        <f>$AD216*AG216</f>
        <v>14.228964878368386</v>
      </c>
      <c r="I216" s="2">
        <f>$AD216*AH216</f>
        <v>1.0061910878274709</v>
      </c>
      <c r="J216" s="2">
        <f>$E216*AI216</f>
        <v>7.9999999999999734</v>
      </c>
      <c r="K216" s="2">
        <f>$E216*AJ216</f>
        <v>36.853714285714162</v>
      </c>
      <c r="L216" s="2">
        <f>$E216*AK216</f>
        <v>35.999999999999901</v>
      </c>
      <c r="M216" s="2">
        <f>$E216*(AB216/100)</f>
        <v>37.547999996400002</v>
      </c>
      <c r="N216" s="2">
        <f>$E216*AL216</f>
        <v>1.0011428571428402</v>
      </c>
      <c r="O216" s="2">
        <f>$E216*(AA216/100)</f>
        <v>90.017142862200004</v>
      </c>
      <c r="P216" s="2">
        <f>$E216*AM216</f>
        <v>2.9676748582230474</v>
      </c>
      <c r="Q216" s="2">
        <f>$E216*AN216</f>
        <v>1.9999999999999669</v>
      </c>
      <c r="R216" s="2">
        <f>$E216*AQ216</f>
        <v>0</v>
      </c>
      <c r="S216" s="2">
        <f>$E216*AO216</f>
        <v>2.002285714285684</v>
      </c>
      <c r="T216" s="2">
        <f>$E216*AP216</f>
        <v>1.0011428571428402</v>
      </c>
      <c r="U216" s="2">
        <f>S216-T216</f>
        <v>1.0011428571428438</v>
      </c>
      <c r="V216" s="1">
        <f>F216/D216</f>
        <v>0.21819692976287103</v>
      </c>
      <c r="W216" s="1">
        <f>(F216+M216+N216+P216)/(D216+M216+N216+Q216)</f>
        <v>0.31099810410095136</v>
      </c>
      <c r="X216" s="1">
        <f>(G216+H216*2+I216*3+J216*4)/D216</f>
        <v>0.34639937717769415</v>
      </c>
      <c r="Y216" s="1">
        <f>W216+X216</f>
        <v>0.6573974812786455</v>
      </c>
      <c r="Z216">
        <v>0.27830188700000003</v>
      </c>
      <c r="AA216">
        <v>25.428571430000002</v>
      </c>
      <c r="AB216">
        <v>10.606779660000001</v>
      </c>
      <c r="AD216" s="2">
        <f>(D216-O216-J216+Q216)*Z216</f>
        <v>59.964923415981133</v>
      </c>
      <c r="AE216">
        <v>0.194327731</v>
      </c>
      <c r="AF216">
        <v>0.74079096045197701</v>
      </c>
      <c r="AG216">
        <v>0.23728813559322001</v>
      </c>
      <c r="AH216">
        <v>1.6779661016948999E-2</v>
      </c>
      <c r="AI216">
        <v>2.2598870056497099E-2</v>
      </c>
      <c r="AJ216">
        <v>0.104106537530266</v>
      </c>
      <c r="AK216">
        <v>0.101694915254237</v>
      </c>
      <c r="AL216">
        <v>2.8280871670701702E-3</v>
      </c>
      <c r="AM216">
        <v>8.3832623113645408E-3</v>
      </c>
      <c r="AN216">
        <v>5.6497175141242001E-3</v>
      </c>
      <c r="AO216">
        <v>5.6561743341403499E-3</v>
      </c>
      <c r="AP216">
        <v>2.8280871670701702E-3</v>
      </c>
      <c r="AQ216">
        <v>0</v>
      </c>
    </row>
    <row r="217" spans="1:43" x14ac:dyDescent="0.4">
      <c r="A217" t="s">
        <v>20</v>
      </c>
      <c r="B217" t="s">
        <v>30</v>
      </c>
      <c r="C217" s="4">
        <f>K217*1.9+G217*2.6+H217*5.2+I217*7.8+J217*10.4+L217*1.9+S217*4.2+M217*2.6+P217*2.6</f>
        <v>514.98272232666557</v>
      </c>
      <c r="D217" s="2">
        <f>E217-M217-P217-Q217-R217</f>
        <v>265.72231139732583</v>
      </c>
      <c r="E217">
        <v>300</v>
      </c>
      <c r="F217" s="2">
        <f>AD217+J217</f>
        <v>63.639712888789163</v>
      </c>
      <c r="G217" s="2">
        <f>$AD217*AF217</f>
        <v>39.628165245302483</v>
      </c>
      <c r="H217" s="2">
        <f>$AD217*AG217</f>
        <v>12.913264213967725</v>
      </c>
      <c r="I217" s="2">
        <f>$AD217*AH217</f>
        <v>1.0045732392868896</v>
      </c>
      <c r="J217" s="2">
        <f>$E217*AI217</f>
        <v>9.9999999999999893</v>
      </c>
      <c r="K217" s="2">
        <f>$E217*AJ217</f>
        <v>35.085714285713998</v>
      </c>
      <c r="L217" s="2">
        <f>$E217*AK217</f>
        <v>39</v>
      </c>
      <c r="M217" s="2">
        <f>$E217*(AB217/100)</f>
        <v>30.342857141999996</v>
      </c>
      <c r="N217" s="2">
        <f>$E217*AL217</f>
        <v>0.985714285714275</v>
      </c>
      <c r="O217" s="2">
        <f>$E217*(AA217/100)</f>
        <v>63.428571420000004</v>
      </c>
      <c r="P217" s="2">
        <f>$E217*AM217</f>
        <v>1.9348314606741388</v>
      </c>
      <c r="Q217" s="2">
        <f>$E217*AN217</f>
        <v>1.99999999999998</v>
      </c>
      <c r="R217" s="2">
        <f>$E217*AQ217</f>
        <v>0</v>
      </c>
      <c r="S217" s="2">
        <f>$E217*AO217</f>
        <v>1.9714285714285531</v>
      </c>
      <c r="T217" s="2">
        <f>$E217*AP217</f>
        <v>8.5714285714283994E-2</v>
      </c>
      <c r="U217" s="2">
        <f>S217-T217</f>
        <v>1.885714285714269</v>
      </c>
      <c r="V217" s="1">
        <f>F217/D217</f>
        <v>0.23949706200481899</v>
      </c>
      <c r="W217" s="1">
        <f>(F217+M217+N217+P217)/(D217+M217+N217+Q217)</f>
        <v>0.32403554492721831</v>
      </c>
      <c r="X217" s="1">
        <f>(G217+H217*2+I217*3+J217*4)/D217</f>
        <v>0.40820212958673729</v>
      </c>
      <c r="Y217" s="1">
        <f>W217+X217</f>
        <v>0.73223767451395561</v>
      </c>
      <c r="Z217">
        <v>0.27607535319999998</v>
      </c>
      <c r="AA217">
        <v>21.14285714</v>
      </c>
      <c r="AB217">
        <v>10.114285713999999</v>
      </c>
      <c r="AD217" s="2">
        <f>(D217-O217-J217+Q217)*Z217</f>
        <v>53.639712888789177</v>
      </c>
      <c r="AE217">
        <v>0.21231818299999999</v>
      </c>
      <c r="AF217">
        <v>0.73878406708595301</v>
      </c>
      <c r="AG217">
        <v>0.24074074074074001</v>
      </c>
      <c r="AH217">
        <v>1.8728162124388398E-2</v>
      </c>
      <c r="AI217">
        <v>3.3333333333333298E-2</v>
      </c>
      <c r="AJ217">
        <v>0.11695238095238</v>
      </c>
      <c r="AK217">
        <v>0.13</v>
      </c>
      <c r="AL217">
        <v>3.2857142857142499E-3</v>
      </c>
      <c r="AM217">
        <v>6.4494382022471297E-3</v>
      </c>
      <c r="AN217">
        <v>6.6666666666666003E-3</v>
      </c>
      <c r="AO217">
        <v>6.5714285714285102E-3</v>
      </c>
      <c r="AP217">
        <v>2.8571428571427999E-4</v>
      </c>
      <c r="AQ217">
        <v>0</v>
      </c>
    </row>
    <row r="218" spans="1:43" x14ac:dyDescent="0.4">
      <c r="A218" t="s">
        <v>20</v>
      </c>
      <c r="B218" s="3" t="s">
        <v>21</v>
      </c>
      <c r="C218" s="4">
        <f>K218*1.9+G218*2.6+H218*5.2+I218*7.8+J218*10.4+L218*1.9+S218*4.2+M218*2.6+P218*2.6</f>
        <v>506.32931486112329</v>
      </c>
      <c r="D218" s="2">
        <f>E218-M218-P218-Q218-R218</f>
        <v>277.78768887376759</v>
      </c>
      <c r="E218">
        <v>303</v>
      </c>
      <c r="F218" s="2">
        <f>AD218+J218</f>
        <v>71.009755530674212</v>
      </c>
      <c r="G218" s="2">
        <f>$AD218*AF218</f>
        <v>47.080154975092604</v>
      </c>
      <c r="H218" s="2">
        <f>$AD218*AG218</f>
        <v>15.096036452501773</v>
      </c>
      <c r="I218" s="2">
        <f>$AD218*AH218</f>
        <v>2.0645420871583164</v>
      </c>
      <c r="J218" s="2">
        <f>$E218*AI218</f>
        <v>6.5999999999999757</v>
      </c>
      <c r="K218" s="2">
        <f>$E218*AJ218</f>
        <v>36.641758241757962</v>
      </c>
      <c r="L218" s="2">
        <f>$E218*AK218</f>
        <v>33.999999999999936</v>
      </c>
      <c r="M218" s="2">
        <f>$E218*(AB218/100)</f>
        <v>19.99780219766097</v>
      </c>
      <c r="N218" s="2">
        <f>$E218*AL218</f>
        <v>0.89999999999999991</v>
      </c>
      <c r="O218" s="2">
        <f>$E218*(AA218/100)</f>
        <v>56.604395600400004</v>
      </c>
      <c r="P218" s="2">
        <f>$E218*AM218</f>
        <v>2.0029017857142835</v>
      </c>
      <c r="Q218" s="2">
        <f>$E218*AN218</f>
        <v>1.9999999999999998</v>
      </c>
      <c r="R218" s="2">
        <f>$E218*AQ218</f>
        <v>1.2116071428571402</v>
      </c>
      <c r="S218" s="2">
        <f>$E218*AO218</f>
        <v>6.9659340659340385</v>
      </c>
      <c r="T218" s="2">
        <f>$E218*AP218</f>
        <v>2.021978021978021</v>
      </c>
      <c r="U218" s="2">
        <f>S218-T218</f>
        <v>4.9439560439560175</v>
      </c>
      <c r="V218" s="1">
        <f>F218/D218</f>
        <v>0.25562599918869156</v>
      </c>
      <c r="W218" s="1">
        <f>(F218+M218+N218+P218)/(D218+M218+N218+Q218)</f>
        <v>0.31232122035359805</v>
      </c>
      <c r="X218" s="1">
        <f>(G218+H218*2+I218*3+J218*4)/D218</f>
        <v>0.39550296338545188</v>
      </c>
      <c r="Y218" s="1">
        <f>W218+X218</f>
        <v>0.70782418373904998</v>
      </c>
      <c r="Z218">
        <v>0.29739023060000003</v>
      </c>
      <c r="AA218">
        <v>18.68131868</v>
      </c>
      <c r="AB218">
        <v>6.5999347186999904</v>
      </c>
      <c r="AD218" s="2">
        <f>(D218-O218-J218+Q218)*Z218</f>
        <v>64.409755530674232</v>
      </c>
      <c r="AE218">
        <v>0.22915804000000001</v>
      </c>
      <c r="AF218">
        <v>0.73094758064516097</v>
      </c>
      <c r="AG218">
        <v>0.234375</v>
      </c>
      <c r="AH218">
        <v>3.2053251408089997E-2</v>
      </c>
      <c r="AI218">
        <v>2.1782178217821701E-2</v>
      </c>
      <c r="AJ218">
        <v>0.12092989518732</v>
      </c>
      <c r="AK218">
        <v>0.112211221122112</v>
      </c>
      <c r="AL218">
        <v>2.9702970297029699E-3</v>
      </c>
      <c r="AM218">
        <v>6.6102369165487902E-3</v>
      </c>
      <c r="AN218">
        <v>6.6006600660065999E-3</v>
      </c>
      <c r="AO218">
        <v>2.29898814057229E-2</v>
      </c>
      <c r="AP218">
        <v>6.6731947920066698E-3</v>
      </c>
      <c r="AQ218">
        <v>3.9987034417727401E-3</v>
      </c>
    </row>
    <row r="219" spans="1:43" x14ac:dyDescent="0.4">
      <c r="A219" t="s">
        <v>206</v>
      </c>
      <c r="B219" s="3" t="s">
        <v>211</v>
      </c>
      <c r="C219" s="4">
        <f>K219*1.9+G219*2.6+H219*5.2+I219*7.8+J219*10.4+L219*1.9+S219*4.2+M219*2.6+P219*2.6</f>
        <v>471.03193897872336</v>
      </c>
      <c r="D219" s="2">
        <f>E219-M219-P219-Q219-R219</f>
        <v>282.87872623547622</v>
      </c>
      <c r="E219">
        <v>306</v>
      </c>
      <c r="F219" s="2">
        <f>AD219+J219</f>
        <v>69.082540422698301</v>
      </c>
      <c r="G219" s="2">
        <f>$AD219*AF219</f>
        <v>48.068746880203477</v>
      </c>
      <c r="H219" s="2">
        <f>$AD219*AG219</f>
        <v>12.096508084539666</v>
      </c>
      <c r="I219" s="2">
        <f>$AD219*AH219</f>
        <v>0.59491023366588391</v>
      </c>
      <c r="J219" s="2">
        <f>$E219*AI219</f>
        <v>8.5999999999999712</v>
      </c>
      <c r="K219" s="2">
        <f>$E219*AJ219</f>
        <v>33.41107871720105</v>
      </c>
      <c r="L219" s="2">
        <f>$E219*AK219</f>
        <v>36.999999999999829</v>
      </c>
      <c r="M219" s="2">
        <f>$E219*(AB219/100)</f>
        <v>18.162682215227999</v>
      </c>
      <c r="N219" s="2">
        <f>$E219*AL219</f>
        <v>0</v>
      </c>
      <c r="O219" s="2">
        <f>$E219*(AA219/100)</f>
        <v>49.067055385200007</v>
      </c>
      <c r="P219" s="2">
        <f>$E219*AM219</f>
        <v>2.9585915492957602</v>
      </c>
      <c r="Q219" s="2">
        <f>$E219*AN219</f>
        <v>1.9999999999999998</v>
      </c>
      <c r="R219" s="2">
        <f>$E219*AQ219</f>
        <v>0</v>
      </c>
      <c r="S219" s="2">
        <f>$E219*AO219</f>
        <v>8.9212827988337212E-2</v>
      </c>
      <c r="T219" s="2">
        <f>$E219*AP219</f>
        <v>0</v>
      </c>
      <c r="U219" s="2">
        <f>S219-T219</f>
        <v>8.9212827988337212E-2</v>
      </c>
      <c r="V219" s="1">
        <f>F219/D219</f>
        <v>0.24421256890556006</v>
      </c>
      <c r="W219" s="1">
        <f>(F219+M219+N219+P219)/(D219+M219+N219+Q219)</f>
        <v>0.29766167814619143</v>
      </c>
      <c r="X219" s="1">
        <f>(G219+H219*2+I219*3+J219*4)/D219</f>
        <v>0.38336744227279373</v>
      </c>
      <c r="Y219" s="1">
        <f>W219+X219</f>
        <v>0.68102912041898511</v>
      </c>
      <c r="Z219">
        <v>0.26619469060000001</v>
      </c>
      <c r="AA219">
        <v>16.034985420000002</v>
      </c>
      <c r="AB219">
        <v>5.9355170637999999</v>
      </c>
      <c r="AD219" s="2">
        <f>(D219-O219-J219+Q219)*Z219</f>
        <v>60.482540422698328</v>
      </c>
      <c r="AE219">
        <v>0.23040115999999999</v>
      </c>
      <c r="AF219">
        <v>0.79475409836065503</v>
      </c>
      <c r="AG219">
        <v>0.2</v>
      </c>
      <c r="AH219">
        <v>9.8360655737704701E-3</v>
      </c>
      <c r="AI219">
        <v>2.81045751633986E-2</v>
      </c>
      <c r="AJ219">
        <v>0.10918653175555899</v>
      </c>
      <c r="AK219">
        <v>0.12091503267973799</v>
      </c>
      <c r="AL219">
        <v>0</v>
      </c>
      <c r="AM219">
        <v>9.6685998342998705E-3</v>
      </c>
      <c r="AN219">
        <v>6.5359477124183E-3</v>
      </c>
      <c r="AO219">
        <v>2.9154518950436997E-4</v>
      </c>
      <c r="AP219">
        <v>0</v>
      </c>
      <c r="AQ219">
        <v>0</v>
      </c>
    </row>
    <row r="220" spans="1:43" x14ac:dyDescent="0.4">
      <c r="A220" t="s">
        <v>107</v>
      </c>
      <c r="B220" t="s">
        <v>114</v>
      </c>
      <c r="C220" s="4">
        <f>K220*1.9+G220*2.6+H220*5.2+I220*7.8+J220*10.4+L220*1.9+S220*4.2+M220*2.6+P220*2.6</f>
        <v>456.90383640948085</v>
      </c>
      <c r="D220" s="2">
        <f>E220-M220-P220-Q220-R220</f>
        <v>247.81183206049272</v>
      </c>
      <c r="E220">
        <v>279</v>
      </c>
      <c r="F220" s="2">
        <f>AD220+J220</f>
        <v>54.949261245034066</v>
      </c>
      <c r="G220" s="2">
        <f>$AD220*AF220</f>
        <v>31.963919107579787</v>
      </c>
      <c r="H220" s="2">
        <f>$AD220*AG220</f>
        <v>11.986469665342391</v>
      </c>
      <c r="I220" s="2">
        <f>$AD220*AH220</f>
        <v>0.39954898884474699</v>
      </c>
      <c r="J220" s="2">
        <f>$E220*AI220</f>
        <v>9.9999999999999893</v>
      </c>
      <c r="K220" s="2">
        <f>$E220*AJ220</f>
        <v>32.328571428571188</v>
      </c>
      <c r="L220" s="2">
        <f>$E220*AK220</f>
        <v>32.999999999999964</v>
      </c>
      <c r="M220" s="2">
        <f>$E220*(AB220/100)</f>
        <v>26.190000000575999</v>
      </c>
      <c r="N220" s="2">
        <f>$E220*AL220</f>
        <v>0</v>
      </c>
      <c r="O220" s="2">
        <f>$E220*(AA220/100)</f>
        <v>74.400000009300001</v>
      </c>
      <c r="P220" s="2">
        <f>$E220*AM220</f>
        <v>2.9981679389312852</v>
      </c>
      <c r="Q220" s="2">
        <f>$E220*AN220</f>
        <v>1.999999999999998</v>
      </c>
      <c r="R220" s="2">
        <f>$E220*AQ220</f>
        <v>0</v>
      </c>
      <c r="S220" s="2">
        <f>$E220*AO220</f>
        <v>1.0328571428571403</v>
      </c>
      <c r="T220" s="2">
        <f>$E220*AP220</f>
        <v>0</v>
      </c>
      <c r="U220" s="2">
        <f>S220-T220</f>
        <v>1.0328571428571403</v>
      </c>
      <c r="V220" s="1">
        <f>F220/D220</f>
        <v>0.22173784354098372</v>
      </c>
      <c r="W220" s="1">
        <f>(F220+M220+N220+P220)/(D220+M220+N220+Q220)</f>
        <v>0.30484373439204177</v>
      </c>
      <c r="X220" s="1">
        <f>(G220+H220*2+I220*3+J220*4)/D220</f>
        <v>0.3919728311483015</v>
      </c>
      <c r="Y220" s="1">
        <f>W220+X220</f>
        <v>0.69681656554034332</v>
      </c>
      <c r="Z220">
        <v>0.27174151140000002</v>
      </c>
      <c r="AA220">
        <v>26.666666670000001</v>
      </c>
      <c r="AB220">
        <v>9.3870967743999998</v>
      </c>
      <c r="AD220" s="2">
        <f>(D220-O220-J220+Q220)*Z220</f>
        <v>44.94926124503408</v>
      </c>
      <c r="AE220">
        <v>0.19635164399999999</v>
      </c>
      <c r="AF220">
        <v>0.71111111111111103</v>
      </c>
      <c r="AG220">
        <v>0.266666666666666</v>
      </c>
      <c r="AH220">
        <v>8.8888888888888802E-3</v>
      </c>
      <c r="AI220">
        <v>3.5842293906809999E-2</v>
      </c>
      <c r="AJ220">
        <v>0.115873015873015</v>
      </c>
      <c r="AK220">
        <v>0.118279569892473</v>
      </c>
      <c r="AL220">
        <v>0</v>
      </c>
      <c r="AM220">
        <v>1.0746121644915001E-2</v>
      </c>
      <c r="AN220">
        <v>7.1684587813620002E-3</v>
      </c>
      <c r="AO220">
        <v>3.7019969278033701E-3</v>
      </c>
      <c r="AP220">
        <v>0</v>
      </c>
      <c r="AQ220">
        <v>0</v>
      </c>
    </row>
    <row r="221" spans="1:43" x14ac:dyDescent="0.4">
      <c r="A221" t="s">
        <v>20</v>
      </c>
      <c r="B221" s="3" t="s">
        <v>26</v>
      </c>
      <c r="C221" s="4">
        <f>K221*1.9+G221*2.6+H221*5.2+I221*7.8+J221*10.4+L221*1.9+S221*4.2+M221*2.6+P221*2.6</f>
        <v>452.44453217148816</v>
      </c>
      <c r="D221" s="2">
        <f>E221-M221-P221-Q221-R221</f>
        <v>236.76323786463274</v>
      </c>
      <c r="E221">
        <v>262</v>
      </c>
      <c r="F221" s="2">
        <f>AD221+J221</f>
        <v>59.326047132307458</v>
      </c>
      <c r="G221" s="2">
        <f>$AD221*AF221</f>
        <v>40.749149223744361</v>
      </c>
      <c r="H221" s="2">
        <f>$AD221*AG221</f>
        <v>11.067670159535471</v>
      </c>
      <c r="I221" s="2">
        <f>$AD221*AH221</f>
        <v>1.4202220099823515</v>
      </c>
      <c r="J221" s="2">
        <f>$E221*AI221</f>
        <v>5.9999999999999938</v>
      </c>
      <c r="K221" s="2">
        <f>$E221*AJ221</f>
        <v>32.015444015443812</v>
      </c>
      <c r="L221" s="2">
        <f>$E221*AK221</f>
        <v>26.999999999999787</v>
      </c>
      <c r="M221" s="2">
        <f>$E221*(AB221/100)</f>
        <v>19.224324324422003</v>
      </c>
      <c r="N221" s="2">
        <f>$E221*AL221</f>
        <v>0</v>
      </c>
      <c r="O221" s="2">
        <f>$E221*(AA221/100)</f>
        <v>63.729729718399994</v>
      </c>
      <c r="P221" s="2">
        <f>$E221*AM221</f>
        <v>3.2213930348258546</v>
      </c>
      <c r="Q221" s="2">
        <f>$E221*AN221</f>
        <v>1.9999999999999891</v>
      </c>
      <c r="R221" s="2">
        <f>$E221*AQ221</f>
        <v>0.79104477611939139</v>
      </c>
      <c r="S221" s="2">
        <f>$E221*AO221</f>
        <v>10.709266409266377</v>
      </c>
      <c r="T221" s="2">
        <f>$E221*AP221</f>
        <v>2.0023166023165917</v>
      </c>
      <c r="U221" s="2">
        <f>S221-T221</f>
        <v>8.706949806949785</v>
      </c>
      <c r="V221" s="1">
        <f>F221/D221</f>
        <v>0.25057119368432779</v>
      </c>
      <c r="W221" s="1">
        <f>(F221+M221+N221+P221)/(D221+M221+N221+Q221)</f>
        <v>0.31696010380389</v>
      </c>
      <c r="X221" s="1">
        <f>(G221+H221*2+I221*3+J221*4)/D221</f>
        <v>0.3849632924215784</v>
      </c>
      <c r="Y221" s="1">
        <f>W221+X221</f>
        <v>0.7019233962254684</v>
      </c>
      <c r="Z221">
        <v>0.31547618999999999</v>
      </c>
      <c r="AA221">
        <v>24.324324319999999</v>
      </c>
      <c r="AB221">
        <v>7.3375283681000001</v>
      </c>
      <c r="AD221" s="2">
        <f>(D221-O221-J221+Q221)*Z221</f>
        <v>53.326047132307465</v>
      </c>
      <c r="AE221">
        <v>0.22429779799999999</v>
      </c>
      <c r="AF221">
        <v>0.76415094339622602</v>
      </c>
      <c r="AG221">
        <v>0.20754716981131999</v>
      </c>
      <c r="AH221">
        <v>2.6632801161103E-2</v>
      </c>
      <c r="AI221">
        <v>2.2900763358778602E-2</v>
      </c>
      <c r="AJ221">
        <v>0.122196351203984</v>
      </c>
      <c r="AK221">
        <v>0.103053435114503</v>
      </c>
      <c r="AL221">
        <v>0</v>
      </c>
      <c r="AM221">
        <v>1.2295393262694101E-2</v>
      </c>
      <c r="AN221">
        <v>7.6335877862595001E-3</v>
      </c>
      <c r="AO221">
        <v>4.0875062630787697E-2</v>
      </c>
      <c r="AP221">
        <v>7.6424297798343196E-3</v>
      </c>
      <c r="AQ221">
        <v>3.0192548706847E-3</v>
      </c>
    </row>
    <row r="222" spans="1:43" x14ac:dyDescent="0.4">
      <c r="A222" t="s">
        <v>199</v>
      </c>
      <c r="B222" s="3" t="s">
        <v>201</v>
      </c>
      <c r="C222" s="4">
        <f>K222*1.9+G222*2.6+H222*5.2+I222*7.8+J222*10.4+L222*1.9+S222*4.2+M222*2.6+P222*2.6</f>
        <v>421.24084731298586</v>
      </c>
      <c r="D222" s="2">
        <f>E222-M222-P222-Q222-R222</f>
        <v>245.88073661778236</v>
      </c>
      <c r="E222">
        <v>270</v>
      </c>
      <c r="F222" s="2">
        <f>AD222+J222</f>
        <v>60.908189127910816</v>
      </c>
      <c r="G222" s="2">
        <f>$AD222*AF222</f>
        <v>39.10819288760495</v>
      </c>
      <c r="H222" s="2">
        <f>$AD222*AG222</f>
        <v>13.976629959831817</v>
      </c>
      <c r="I222" s="2">
        <f>$AD222*AH222</f>
        <v>1.6425365667079936</v>
      </c>
      <c r="J222" s="2">
        <f>$E222*AI222</f>
        <v>5.9999999999999938</v>
      </c>
      <c r="K222" s="2">
        <f>$E222*AJ222</f>
        <v>29.775999999999868</v>
      </c>
      <c r="L222" s="2">
        <f>$E222*AK222</f>
        <v>27.999999999999812</v>
      </c>
      <c r="M222" s="2">
        <f>$E222*(AB222/100)</f>
        <v>20.087999998920001</v>
      </c>
      <c r="N222" s="2">
        <f>$E222*AL222</f>
        <v>0</v>
      </c>
      <c r="O222" s="2">
        <f>$E222*(AA222/100)</f>
        <v>54</v>
      </c>
      <c r="P222" s="2">
        <f>$E222*AM222</f>
        <v>2.0312633832976412</v>
      </c>
      <c r="Q222" s="2">
        <f>$E222*AN222</f>
        <v>1.999999999999998</v>
      </c>
      <c r="R222" s="2">
        <f>$E222*AQ222</f>
        <v>0</v>
      </c>
      <c r="S222" s="2">
        <f>$E222*AO222</f>
        <v>1.0439999999999983</v>
      </c>
      <c r="T222" s="2">
        <f>$E222*AP222</f>
        <v>7.1999999999998204E-2</v>
      </c>
      <c r="U222" s="2">
        <f>S222-T222</f>
        <v>0.97200000000000009</v>
      </c>
      <c r="V222" s="1">
        <f>F222/D222</f>
        <v>0.24771435926919161</v>
      </c>
      <c r="W222" s="1">
        <f>(F222+M222+N222+P222)/(D222+M222+N222+Q222)</f>
        <v>0.30984007148897158</v>
      </c>
      <c r="X222" s="1">
        <f>(G222+H222*2+I222*3+J222*4)/D222</f>
        <v>0.39038870562929046</v>
      </c>
      <c r="Y222" s="1">
        <f>W222+X222</f>
        <v>0.70022877711826204</v>
      </c>
      <c r="Z222">
        <v>0.2922502334</v>
      </c>
      <c r="AA222">
        <v>20</v>
      </c>
      <c r="AB222">
        <v>7.4399999996000004</v>
      </c>
      <c r="AD222" s="2">
        <f>(D222-O222-J222+Q222)*Z222</f>
        <v>54.908189127910823</v>
      </c>
      <c r="AE222">
        <v>0.22110929700000001</v>
      </c>
      <c r="AF222">
        <v>0.71224699828473403</v>
      </c>
      <c r="AG222">
        <v>0.25454545454545402</v>
      </c>
      <c r="AH222">
        <v>2.9914236706689398E-2</v>
      </c>
      <c r="AI222">
        <v>2.2222222222222199E-2</v>
      </c>
      <c r="AJ222">
        <v>0.11028148148148099</v>
      </c>
      <c r="AK222">
        <v>0.10370370370370301</v>
      </c>
      <c r="AL222">
        <v>0</v>
      </c>
      <c r="AM222">
        <v>7.5231977159171898E-3</v>
      </c>
      <c r="AN222">
        <v>7.4074074074073999E-3</v>
      </c>
      <c r="AO222">
        <v>3.8666666666666602E-3</v>
      </c>
      <c r="AP222">
        <v>2.6666666666666001E-4</v>
      </c>
      <c r="AQ222">
        <v>0</v>
      </c>
    </row>
    <row r="223" spans="1:43" x14ac:dyDescent="0.4">
      <c r="A223" t="s">
        <v>257</v>
      </c>
      <c r="B223" s="3" t="s">
        <v>263</v>
      </c>
      <c r="C223" s="4">
        <f>K223*1.9+G223*2.6+H223*5.2+I223*7.8+J223*10.4+L223*1.9+S223*4.2+M223*2.6+P223*2.6</f>
        <v>399.0339426047251</v>
      </c>
      <c r="D223" s="2">
        <f>E223-M223-P223-Q223-R223</f>
        <v>205.71555689499067</v>
      </c>
      <c r="E223">
        <v>235</v>
      </c>
      <c r="F223" s="2">
        <f>AD223+J223</f>
        <v>43.571310446649157</v>
      </c>
      <c r="G223" s="2">
        <f>$AD223*AF223</f>
        <v>24.452434881956094</v>
      </c>
      <c r="H223" s="2">
        <f>$AD223*AG223</f>
        <v>10.048945841899743</v>
      </c>
      <c r="I223" s="2">
        <f>$AD223*AH223</f>
        <v>0.98814634112014044</v>
      </c>
      <c r="J223" s="2">
        <f>$E223*AI223</f>
        <v>8.3999999999999702</v>
      </c>
      <c r="K223" s="2">
        <f>$E223*AJ223</f>
        <v>28.119999999999976</v>
      </c>
      <c r="L223" s="2">
        <f>$E223*AK223</f>
        <v>26.999999999999858</v>
      </c>
      <c r="M223" s="2">
        <f>$E223*(AB223/100)</f>
        <v>24.285714291449995</v>
      </c>
      <c r="N223" s="2">
        <f>$E223*AL223</f>
        <v>0</v>
      </c>
      <c r="O223" s="2">
        <f>$E223*(AA223/100)</f>
        <v>68.485714279000007</v>
      </c>
      <c r="P223" s="2">
        <f>$E223*AM223</f>
        <v>2.9987288135593162</v>
      </c>
      <c r="Q223" s="2">
        <f>$E223*AN223</f>
        <v>1.9999999999999907</v>
      </c>
      <c r="R223" s="2">
        <f>$E223*AQ223</f>
        <v>0</v>
      </c>
      <c r="S223" s="2">
        <f>$E223*AO223</f>
        <v>2.9685714285714044</v>
      </c>
      <c r="T223" s="2">
        <f>$E223*AP223</f>
        <v>0.89999999999998515</v>
      </c>
      <c r="U223" s="2">
        <f>S223-T223</f>
        <v>2.0685714285714192</v>
      </c>
      <c r="V223" s="1">
        <f>F223/D223</f>
        <v>0.21180367252871654</v>
      </c>
      <c r="W223" s="1">
        <f>(F223+M223+N223+P223)/(D223+M223+N223+Q223)</f>
        <v>0.3054110574019977</v>
      </c>
      <c r="X223" s="1">
        <f>(G223+H223*2+I223*3+J223*4)/D223</f>
        <v>0.39430545172877535</v>
      </c>
      <c r="Y223" s="1">
        <f>W223+X223</f>
        <v>0.6997165091307731</v>
      </c>
      <c r="Z223">
        <v>0.26883247539999999</v>
      </c>
      <c r="AA223">
        <v>29.14285714</v>
      </c>
      <c r="AB223">
        <v>10.334346506999999</v>
      </c>
      <c r="AD223" s="2">
        <f>(D223-O223-J223+Q223)*Z223</f>
        <v>35.171310446649187</v>
      </c>
      <c r="AE223">
        <v>0.18651696000000001</v>
      </c>
      <c r="AF223">
        <v>0.69523809523809499</v>
      </c>
      <c r="AG223">
        <v>0.28571428571428498</v>
      </c>
      <c r="AH223">
        <v>2.8095238095238E-2</v>
      </c>
      <c r="AI223">
        <v>3.57446808510637E-2</v>
      </c>
      <c r="AJ223">
        <v>0.11965957446808501</v>
      </c>
      <c r="AK223">
        <v>0.114893617021276</v>
      </c>
      <c r="AL223">
        <v>0</v>
      </c>
      <c r="AM223">
        <v>1.2760548142805601E-2</v>
      </c>
      <c r="AN223">
        <v>8.5106382978723007E-3</v>
      </c>
      <c r="AO223">
        <v>1.2632218844984699E-2</v>
      </c>
      <c r="AP223">
        <v>3.8297872340424901E-3</v>
      </c>
      <c r="AQ223">
        <v>0</v>
      </c>
    </row>
    <row r="224" spans="1:43" x14ac:dyDescent="0.4">
      <c r="A224" t="s">
        <v>84</v>
      </c>
      <c r="B224" s="3" t="s">
        <v>90</v>
      </c>
      <c r="C224" s="4">
        <f>K224*1.9+G224*2.6+H224*5.2+I224*7.8+J224*10.4+L224*1.9+S224*4.2+M224*2.6+P224*2.6</f>
        <v>336.35342483998295</v>
      </c>
      <c r="D224" s="2">
        <f>E224-M224-P224-Q224-R224</f>
        <v>192.00292942406296</v>
      </c>
      <c r="E224">
        <v>207</v>
      </c>
      <c r="F224" s="2">
        <f>AD224+J224</f>
        <v>46.396352586525033</v>
      </c>
      <c r="G224" s="2">
        <f>$AD224*AF224</f>
        <v>31.397206615046009</v>
      </c>
      <c r="H224" s="2">
        <f>$AD224*AG224</f>
        <v>8.9991993482615893</v>
      </c>
      <c r="I224" s="2">
        <f>$AD224*AH224</f>
        <v>0</v>
      </c>
      <c r="J224" s="2">
        <f>$E224*AI224</f>
        <v>5.3999999999999728</v>
      </c>
      <c r="K224" s="2">
        <f>$E224*AJ224</f>
        <v>23.310389610389585</v>
      </c>
      <c r="L224" s="2">
        <f>$E224*AK224</f>
        <v>21.999999999999797</v>
      </c>
      <c r="M224" s="2">
        <f>$E224*(AB224/100)</f>
        <v>12.009740259194999</v>
      </c>
      <c r="N224" s="2">
        <f>$E224*AL224</f>
        <v>0</v>
      </c>
      <c r="O224" s="2">
        <f>$E224*(AA224/100)</f>
        <v>52.422077912399999</v>
      </c>
      <c r="P224" s="2">
        <f>$E224*AM224</f>
        <v>1.9873303167420682</v>
      </c>
      <c r="Q224" s="2">
        <f>$E224*AN224</f>
        <v>0.99999999999999278</v>
      </c>
      <c r="R224" s="2">
        <f>$E224*AQ224</f>
        <v>0</v>
      </c>
      <c r="S224" s="2">
        <f>$E224*AO224</f>
        <v>6.9720779220779017</v>
      </c>
      <c r="T224" s="2">
        <f>$E224*AP224</f>
        <v>2.0688311688311538</v>
      </c>
      <c r="U224" s="2">
        <f>S224-T224</f>
        <v>4.9032467532467479</v>
      </c>
      <c r="V224" s="1">
        <f>F224/D224</f>
        <v>0.24164398285847385</v>
      </c>
      <c r="W224" s="1">
        <f>(F224+M224+N224+P224)/(D224+M224+N224+Q224)</f>
        <v>0.29458385794287345</v>
      </c>
      <c r="X224" s="1">
        <f>(G224+H224*2+I224*3+J224*4)/D224</f>
        <v>0.36976313603406658</v>
      </c>
      <c r="Y224" s="1">
        <f>W224+X224</f>
        <v>0.66434699397693997</v>
      </c>
      <c r="Z224">
        <v>0.30327041239999902</v>
      </c>
      <c r="AA224">
        <v>25.324675320000001</v>
      </c>
      <c r="AB224">
        <v>5.8018068884999998</v>
      </c>
      <c r="AD224" s="2">
        <f>(D224-O224-J224+Q224)*Z224</f>
        <v>40.996352586525063</v>
      </c>
      <c r="AE224">
        <v>0.22444478600000001</v>
      </c>
      <c r="AF224">
        <v>0.76585365853658505</v>
      </c>
      <c r="AG224">
        <v>0.219512195121951</v>
      </c>
      <c r="AH224">
        <v>0</v>
      </c>
      <c r="AI224">
        <v>2.6086956521739001E-2</v>
      </c>
      <c r="AJ224">
        <v>0.112610577827969</v>
      </c>
      <c r="AK224">
        <v>0.106280193236714</v>
      </c>
      <c r="AL224">
        <v>0</v>
      </c>
      <c r="AM224">
        <v>9.6006295494785905E-3</v>
      </c>
      <c r="AN224">
        <v>4.8309178743961003E-3</v>
      </c>
      <c r="AO224">
        <v>3.3681535855448801E-2</v>
      </c>
      <c r="AP224">
        <v>9.9943534726142699E-3</v>
      </c>
      <c r="AQ224">
        <v>0</v>
      </c>
    </row>
    <row r="225" spans="1:43" x14ac:dyDescent="0.4">
      <c r="A225" t="s">
        <v>94</v>
      </c>
      <c r="B225" s="3" t="s">
        <v>96</v>
      </c>
      <c r="C225" s="4">
        <f>K225*1.9+G225*2.6+H225*5.2+I225*7.8+J225*10.4+L225*1.9+S225*4.2+M225*2.6+P225*2.6</f>
        <v>326.55738295526692</v>
      </c>
      <c r="D225" s="2">
        <f>E225-M225-P225-Q225-R225</f>
        <v>175.78434937110532</v>
      </c>
      <c r="E225">
        <v>197</v>
      </c>
      <c r="F225" s="2">
        <f>AD225+J225</f>
        <v>41.278141335566389</v>
      </c>
      <c r="G225" s="2">
        <f>$AD225*AF225</f>
        <v>26.066626653501814</v>
      </c>
      <c r="H225" s="2">
        <f>$AD225*AG225</f>
        <v>8.8195353338916007</v>
      </c>
      <c r="I225" s="2">
        <f>$AD225*AH225</f>
        <v>0.5879690222594377</v>
      </c>
      <c r="J225" s="2">
        <f>$E225*AI225</f>
        <v>5.9999999999999858</v>
      </c>
      <c r="K225" s="2">
        <f>$E225*AJ225</f>
        <v>21.908571428571229</v>
      </c>
      <c r="L225" s="2">
        <f>$E225*AK225</f>
        <v>23.999999999999865</v>
      </c>
      <c r="M225" s="2">
        <f>$E225*(AB225/100)</f>
        <v>16.201142856873979</v>
      </c>
      <c r="N225" s="2">
        <f>$E225*AL225</f>
        <v>0.61257142857141689</v>
      </c>
      <c r="O225" s="2">
        <f>$E225*(AA225/100)</f>
        <v>46.154285717100002</v>
      </c>
      <c r="P225" s="2">
        <f>$E225*AM225</f>
        <v>3.1082901554403937</v>
      </c>
      <c r="Q225" s="2">
        <f>$E225*AN225</f>
        <v>1.5999999999999817</v>
      </c>
      <c r="R225" s="2">
        <f>$E225*AQ225</f>
        <v>0.30621761658030688</v>
      </c>
      <c r="S225" s="2">
        <f>$E225*AO225</f>
        <v>2.0251428571428387</v>
      </c>
      <c r="T225" s="2">
        <f>$E225*AP225</f>
        <v>0</v>
      </c>
      <c r="U225" s="2">
        <f>S225-T225</f>
        <v>2.0251428571428387</v>
      </c>
      <c r="V225" s="1">
        <f>F225/D225</f>
        <v>0.23482261921066969</v>
      </c>
      <c r="W225" s="1">
        <f>(F225+M225+N225+P225)/(D225+M225+N225+Q225)</f>
        <v>0.31514292482693229</v>
      </c>
      <c r="X225" s="1">
        <f>(G225+H225*2+I225*3+J225*4)/D225</f>
        <v>0.39519789239827735</v>
      </c>
      <c r="Y225" s="1">
        <f>W225+X225</f>
        <v>0.7103408172252097</v>
      </c>
      <c r="Z225">
        <v>0.28170664699999998</v>
      </c>
      <c r="AA225">
        <v>23.428571430000002</v>
      </c>
      <c r="AB225">
        <v>8.2239303841999902</v>
      </c>
      <c r="AD225" s="2">
        <f>(D225-O225-J225+Q225)*Z225</f>
        <v>35.278141335566403</v>
      </c>
      <c r="AE225">
        <v>0.21492857100000001</v>
      </c>
      <c r="AF225">
        <v>0.73888888888888804</v>
      </c>
      <c r="AG225">
        <v>0.25</v>
      </c>
      <c r="AH225">
        <v>1.6666666666666601E-2</v>
      </c>
      <c r="AI225">
        <v>3.0456852791878101E-2</v>
      </c>
      <c r="AJ225">
        <v>0.111211022480057</v>
      </c>
      <c r="AK225">
        <v>0.121827411167512</v>
      </c>
      <c r="AL225">
        <v>3.1094996374183598E-3</v>
      </c>
      <c r="AM225">
        <v>1.57781226164487E-2</v>
      </c>
      <c r="AN225">
        <v>8.1218274111674194E-3</v>
      </c>
      <c r="AO225">
        <v>1.02799129804205E-2</v>
      </c>
      <c r="AP225">
        <v>0</v>
      </c>
      <c r="AQ225">
        <v>1.5544041450777E-3</v>
      </c>
    </row>
    <row r="226" spans="1:43" x14ac:dyDescent="0.4">
      <c r="A226" t="s">
        <v>257</v>
      </c>
      <c r="B226" s="3" t="s">
        <v>265</v>
      </c>
      <c r="C226" s="4">
        <f>K226*1.9+G226*2.6+H226*5.2+I226*7.8+J226*10.4+L226*1.9+S226*4.2+M226*2.6+P226*2.6</f>
        <v>282.39419383094571</v>
      </c>
      <c r="D226" s="2">
        <f>E226-M226-P226-Q226-R226</f>
        <v>162.84982422449863</v>
      </c>
      <c r="E226">
        <v>178</v>
      </c>
      <c r="F226" s="2">
        <f>AD226+J226</f>
        <v>35.542832485421684</v>
      </c>
      <c r="G226" s="2">
        <f>$AD226*AF226</f>
        <v>20.245725186846688</v>
      </c>
      <c r="H226" s="2">
        <f>$AD226*AG226</f>
        <v>7.9842296511508062</v>
      </c>
      <c r="I226" s="2">
        <f>$AD226*AH226</f>
        <v>0</v>
      </c>
      <c r="J226" s="2">
        <f>$E226*AI226</f>
        <v>6.599999999999989</v>
      </c>
      <c r="K226" s="2">
        <f>$E226*AJ226</f>
        <v>19.405714285714147</v>
      </c>
      <c r="L226" s="2">
        <f>$E226*AK226</f>
        <v>21.999999999999904</v>
      </c>
      <c r="M226" s="2">
        <f>$E226*(AB226/100)</f>
        <v>12.071428571922</v>
      </c>
      <c r="N226" s="2">
        <f>$E226*AL226</f>
        <v>0.98476190476188963</v>
      </c>
      <c r="O226" s="2">
        <f>$E226*(AA226/100)</f>
        <v>47.466666672599999</v>
      </c>
      <c r="P226" s="2">
        <f>$E226*AM226</f>
        <v>2.0787472035793888</v>
      </c>
      <c r="Q226" s="2">
        <f>$E226*AN226</f>
        <v>0.99999999999998435</v>
      </c>
      <c r="R226" s="2">
        <f>$E226*AQ226</f>
        <v>0</v>
      </c>
      <c r="S226" s="2">
        <f>$E226*AO226</f>
        <v>0.98476190476188963</v>
      </c>
      <c r="T226" s="2">
        <f>$E226*AP226</f>
        <v>0</v>
      </c>
      <c r="U226" s="2">
        <f>S226-T226</f>
        <v>0.98476190476188963</v>
      </c>
      <c r="V226" s="1">
        <f>F226/D226</f>
        <v>0.21825527079736773</v>
      </c>
      <c r="W226" s="1">
        <f>(F226+M226+N226+P226)/(D226+M226+N226+Q226)</f>
        <v>0.28646719701015466</v>
      </c>
      <c r="X226" s="1">
        <f>(G226+H226*2+I226*3+J226*4)/D226</f>
        <v>0.38449034125348946</v>
      </c>
      <c r="Y226" s="1">
        <f>W226+X226</f>
        <v>0.67095753826364413</v>
      </c>
      <c r="Z226">
        <v>0.26363636400000001</v>
      </c>
      <c r="AA226">
        <v>26.666666670000001</v>
      </c>
      <c r="AB226">
        <v>6.7817014449000004</v>
      </c>
      <c r="AD226" s="2">
        <f>(D226-O226-J226+Q226)*Z226</f>
        <v>28.942832485421697</v>
      </c>
      <c r="AE226">
        <v>0.19696629199999999</v>
      </c>
      <c r="AF226">
        <v>0.69950738916256106</v>
      </c>
      <c r="AG226">
        <v>0.27586206896551702</v>
      </c>
      <c r="AH226">
        <v>0</v>
      </c>
      <c r="AI226">
        <v>3.7078651685393198E-2</v>
      </c>
      <c r="AJ226">
        <v>0.10902086677367499</v>
      </c>
      <c r="AK226">
        <v>0.123595505617977</v>
      </c>
      <c r="AL226">
        <v>5.53237025147129E-3</v>
      </c>
      <c r="AM226">
        <v>1.1678355076288701E-2</v>
      </c>
      <c r="AN226">
        <v>5.6179775280897999E-3</v>
      </c>
      <c r="AO226">
        <v>5.53237025147129E-3</v>
      </c>
      <c r="AP226">
        <v>0</v>
      </c>
      <c r="AQ226">
        <v>0</v>
      </c>
    </row>
    <row r="227" spans="1:43" x14ac:dyDescent="0.4">
      <c r="A227" t="s">
        <v>49</v>
      </c>
      <c r="B227" s="3" t="s">
        <v>52</v>
      </c>
      <c r="C227" s="4">
        <f>K227*1.9+G227*2.6+H227*5.2+I227*7.8+J227*10.4+L227*1.9+S227*4.2+M227*2.6+P227*2.6</f>
        <v>279.37462390379136</v>
      </c>
      <c r="D227" s="2">
        <f>E227-M227-P227-Q227-R227</f>
        <v>152.79666483213074</v>
      </c>
      <c r="E227">
        <v>169</v>
      </c>
      <c r="F227" s="2">
        <f>AD227+J227</f>
        <v>35.674916948729482</v>
      </c>
      <c r="G227" s="2">
        <f>$AD227*AF227</f>
        <v>21.944318711555727</v>
      </c>
      <c r="H227" s="2">
        <f>$AD227*AG227</f>
        <v>8.0199778529945132</v>
      </c>
      <c r="I227" s="2">
        <f>$AD227*AH227</f>
        <v>0.4009988926497256</v>
      </c>
      <c r="J227" s="2">
        <f>$E227*AI227</f>
        <v>5.5999999999999819</v>
      </c>
      <c r="K227" s="2">
        <f>$E227*AJ227</f>
        <v>19.671428571428425</v>
      </c>
      <c r="L227" s="2">
        <f>$E227*AK227</f>
        <v>19.999999999999968</v>
      </c>
      <c r="M227" s="2">
        <f>$E227*(AB227/100)</f>
        <v>13.175396824902</v>
      </c>
      <c r="N227" s="2">
        <f>$E227*AL227</f>
        <v>0.39999999999999936</v>
      </c>
      <c r="O227" s="2">
        <f>$E227*(AA227/100)</f>
        <v>46.944444448200002</v>
      </c>
      <c r="P227" s="2">
        <f>$E227*AM227</f>
        <v>2.0279383429672353</v>
      </c>
      <c r="Q227" s="2">
        <f>$E227*AN227</f>
        <v>0.99999999999999833</v>
      </c>
      <c r="R227" s="2">
        <f>$E227*AQ227</f>
        <v>0</v>
      </c>
      <c r="S227" s="2">
        <f>$E227*AO227</f>
        <v>1.034126984126982</v>
      </c>
      <c r="T227" s="2">
        <f>$E227*AP227</f>
        <v>1.034126984126982</v>
      </c>
      <c r="U227" s="2">
        <f>S227-T227</f>
        <v>0</v>
      </c>
      <c r="V227" s="1">
        <f>F227/D227</f>
        <v>0.23347968352531479</v>
      </c>
      <c r="W227" s="1">
        <f>(F227+M227+N227+P227)/(D227+M227+N227+Q227)</f>
        <v>0.3063728295447215</v>
      </c>
      <c r="X227" s="1">
        <f>(G227+H227*2+I227*3+J227*4)/D227</f>
        <v>0.40306685465390485</v>
      </c>
      <c r="Y227" s="1">
        <f>W227+X227</f>
        <v>0.70943968419862635</v>
      </c>
      <c r="Z227">
        <v>0.29702970299999998</v>
      </c>
      <c r="AA227">
        <v>27.777777780000001</v>
      </c>
      <c r="AB227">
        <v>7.7960927957999999</v>
      </c>
      <c r="AD227" s="2">
        <f>(D227-O227-J227+Q227)*Z227</f>
        <v>30.074916948729499</v>
      </c>
      <c r="AE227">
        <v>0.20570228099999999</v>
      </c>
      <c r="AF227">
        <v>0.72965517241379296</v>
      </c>
      <c r="AG227">
        <v>0.266666666666666</v>
      </c>
      <c r="AH227">
        <v>1.3333333333333299E-2</v>
      </c>
      <c r="AI227">
        <v>3.3136094674556103E-2</v>
      </c>
      <c r="AJ227">
        <v>0.116398985629754</v>
      </c>
      <c r="AK227">
        <v>0.118343195266272</v>
      </c>
      <c r="AL227">
        <v>2.3668639053254399E-3</v>
      </c>
      <c r="AM227">
        <v>1.19996351654866E-2</v>
      </c>
      <c r="AN227">
        <v>5.9171597633135998E-3</v>
      </c>
      <c r="AO227">
        <v>6.1190945806330298E-3</v>
      </c>
      <c r="AP227">
        <v>6.1190945806330298E-3</v>
      </c>
      <c r="AQ227">
        <v>0</v>
      </c>
    </row>
    <row r="228" spans="1:43" x14ac:dyDescent="0.4">
      <c r="A228" t="s">
        <v>214</v>
      </c>
      <c r="B228" s="3" t="s">
        <v>216</v>
      </c>
      <c r="C228" s="4">
        <f>K228*1.9+G228*2.6+H228*5.2+I228*7.8+J228*10.4+L228*1.9+S228*4.2+M228*2.6+P228*2.6</f>
        <v>191.05587686168448</v>
      </c>
      <c r="D228" s="2">
        <f>E228-M228-P228-Q228-R228</f>
        <v>107.49843638953632</v>
      </c>
      <c r="E228">
        <v>118</v>
      </c>
      <c r="F228" s="2">
        <f>AD228+J228</f>
        <v>24.465172761378209</v>
      </c>
      <c r="G228" s="2">
        <f>$AD228*AF228</f>
        <v>15.348879571033663</v>
      </c>
      <c r="H228" s="2">
        <f>$AD228*AG228</f>
        <v>5.1162931903445541</v>
      </c>
      <c r="I228" s="2">
        <f>$AD228*AH228</f>
        <v>0</v>
      </c>
      <c r="J228" s="2">
        <f>$E228*AI228</f>
        <v>3.9999999999999925</v>
      </c>
      <c r="K228" s="2">
        <f>$E228*AJ228</f>
        <v>13.649999999999892</v>
      </c>
      <c r="L228" s="2">
        <f>$E228*AK228</f>
        <v>13.99999999999998</v>
      </c>
      <c r="M228" s="2">
        <f>$E228*(AB228/100)</f>
        <v>8.9428571428020014</v>
      </c>
      <c r="N228" s="2">
        <f>$E228*AL228</f>
        <v>0</v>
      </c>
      <c r="O228" s="2">
        <f>$E228*(AA228/100)</f>
        <v>27.3928571378</v>
      </c>
      <c r="P228" s="2">
        <f>$E228*AM228</f>
        <v>0.95870646766168666</v>
      </c>
      <c r="Q228" s="2">
        <f>$E228*AN228</f>
        <v>0.59999999999999709</v>
      </c>
      <c r="R228" s="2">
        <f>$E228*AQ228</f>
        <v>0</v>
      </c>
      <c r="S228" s="2">
        <f>$E228*AO228</f>
        <v>1.1107142857142809</v>
      </c>
      <c r="T228" s="2">
        <f>$E228*AP228</f>
        <v>0</v>
      </c>
      <c r="U228" s="2">
        <f>S228-T228</f>
        <v>1.1107142857142809</v>
      </c>
      <c r="V228" s="1">
        <f>F228/D228</f>
        <v>0.22758631272295973</v>
      </c>
      <c r="W228" s="1">
        <f>(F228+M228+N228+P228)/(D228+M228+N228+Q228)</f>
        <v>0.29362915715167165</v>
      </c>
      <c r="X228" s="1">
        <f>(G228+H228*2+I228*3+J228*4)/D228</f>
        <v>0.38680996066813672</v>
      </c>
      <c r="Y228" s="1">
        <f>W228+X228</f>
        <v>0.68043911781980837</v>
      </c>
      <c r="Z228">
        <v>0.26680161939999902</v>
      </c>
      <c r="AA228">
        <v>23.214285709999999</v>
      </c>
      <c r="AB228">
        <v>7.5786924939000002</v>
      </c>
      <c r="AD228" s="2">
        <f>(D228-O228-J228+Q228)*Z228</f>
        <v>20.465172761378216</v>
      </c>
      <c r="AE228">
        <v>0.20714285700000001</v>
      </c>
      <c r="AF228">
        <v>0.75</v>
      </c>
      <c r="AG228">
        <v>0.25</v>
      </c>
      <c r="AH228">
        <v>0</v>
      </c>
      <c r="AI228">
        <v>3.38983050847457E-2</v>
      </c>
      <c r="AJ228">
        <v>0.11567796610169399</v>
      </c>
      <c r="AK228">
        <v>0.11864406779661001</v>
      </c>
      <c r="AL228">
        <v>0</v>
      </c>
      <c r="AM228">
        <v>8.1246310818787002E-3</v>
      </c>
      <c r="AN228">
        <v>5.0847457627118398E-3</v>
      </c>
      <c r="AO228">
        <v>9.4128329297820407E-3</v>
      </c>
      <c r="AP228">
        <v>0</v>
      </c>
      <c r="AQ228">
        <v>0</v>
      </c>
    </row>
    <row r="229" spans="1:43" x14ac:dyDescent="0.4">
      <c r="A229" t="s">
        <v>39</v>
      </c>
      <c r="B229" s="3" t="s">
        <v>41</v>
      </c>
      <c r="C229" s="4">
        <f>K229*1.9+G229*2.6+H229*5.2+I229*7.8+J229*10.4+L229*1.9+S229*4.2+M229*2.6+P229*2.6</f>
        <v>186.15888410377767</v>
      </c>
      <c r="D229" s="2">
        <f>E229-M229-P229-Q229-R229</f>
        <v>114.675068799247</v>
      </c>
      <c r="E229">
        <v>127</v>
      </c>
      <c r="F229" s="2">
        <f>AD229+J229</f>
        <v>26.2508359186109</v>
      </c>
      <c r="G229" s="2">
        <f>$AD229*AF229</f>
        <v>18.322669609774888</v>
      </c>
      <c r="H229" s="2">
        <f>$AD229*AG229</f>
        <v>4.8439241497105989</v>
      </c>
      <c r="I229" s="2">
        <f>$AD229*AH229</f>
        <v>0</v>
      </c>
      <c r="J229" s="2">
        <f>$E229*AI229</f>
        <v>2.9999999999999889</v>
      </c>
      <c r="K229" s="2">
        <f>$E229*AJ229</f>
        <v>13.729850746268607</v>
      </c>
      <c r="L229" s="2">
        <f>$E229*AK229</f>
        <v>13.999999999999879</v>
      </c>
      <c r="M229" s="2">
        <f>$E229*(AB229/100)</f>
        <v>10.232089552163</v>
      </c>
      <c r="N229" s="2">
        <f>$E229*AL229</f>
        <v>0</v>
      </c>
      <c r="O229" s="2">
        <f>$E229*(AA229/100)</f>
        <v>30.328358202699999</v>
      </c>
      <c r="P229" s="2">
        <f>$E229*AM229</f>
        <v>1.0928416485900099</v>
      </c>
      <c r="Q229" s="2">
        <f>$E229*AN229</f>
        <v>0.9999999999999879</v>
      </c>
      <c r="R229" s="2">
        <f>$E229*AQ229</f>
        <v>0</v>
      </c>
      <c r="S229" s="2">
        <f>$E229*AO229</f>
        <v>0</v>
      </c>
      <c r="T229" s="2">
        <f>$E229*AP229</f>
        <v>0</v>
      </c>
      <c r="U229" s="2">
        <f>S229-T229</f>
        <v>0</v>
      </c>
      <c r="V229" s="1">
        <f>F229/D229</f>
        <v>0.22891493498526921</v>
      </c>
      <c r="W229" s="1">
        <f>(F229+M229+N229+P229)/(D229+M229+N229+Q229)</f>
        <v>0.29844027624298386</v>
      </c>
      <c r="X229" s="1">
        <f>(G229+H229*2+I229*3+J229*4)/D229</f>
        <v>0.34890336956535373</v>
      </c>
      <c r="Y229" s="1">
        <f>W229+X229</f>
        <v>0.64734364580833759</v>
      </c>
      <c r="Z229">
        <v>0.28235294100000002</v>
      </c>
      <c r="AA229">
        <v>23.880597009999999</v>
      </c>
      <c r="AB229">
        <v>8.0567634268999999</v>
      </c>
      <c r="AD229" s="2">
        <f>(D229-O229-J229+Q229)*Z229</f>
        <v>23.25083591861091</v>
      </c>
      <c r="AE229">
        <v>0.21018123699999999</v>
      </c>
      <c r="AF229">
        <v>0.78804347826086896</v>
      </c>
      <c r="AG229">
        <v>0.20833333333333301</v>
      </c>
      <c r="AH229">
        <v>0</v>
      </c>
      <c r="AI229">
        <v>2.3622047244094401E-2</v>
      </c>
      <c r="AJ229">
        <v>0.108109060994241</v>
      </c>
      <c r="AK229">
        <v>0.11023622047244</v>
      </c>
      <c r="AL229">
        <v>0</v>
      </c>
      <c r="AM229">
        <v>8.6050523511024407E-3</v>
      </c>
      <c r="AN229">
        <v>7.8740157480314005E-3</v>
      </c>
      <c r="AO229">
        <v>0</v>
      </c>
      <c r="AP229">
        <v>0</v>
      </c>
      <c r="AQ229">
        <v>0</v>
      </c>
    </row>
  </sheetData>
  <sortState xmlns:xlrd2="http://schemas.microsoft.com/office/spreadsheetml/2017/richdata2" ref="A2:AQ229">
    <sortCondition descending="1" ref="C2:C2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2025_Fantasy_Hitters_modified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張書綸</cp:lastModifiedBy>
  <dcterms:created xsi:type="dcterms:W3CDTF">2025-02-04T17:51:57Z</dcterms:created>
  <dcterms:modified xsi:type="dcterms:W3CDTF">2025-02-21T19:11:53Z</dcterms:modified>
</cp:coreProperties>
</file>